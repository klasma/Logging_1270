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46233</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46233</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46233</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46233</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46233</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46233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49813-2025</t>
        </is>
      </c>
      <c r="B15" t="inlineStr">
        <is>
          <t>avverkningsanmälan</t>
        </is>
      </c>
      <c r="C15" t="inlineStr">
        <is>
          <t>Föryngringsavverkning</t>
        </is>
      </c>
      <c r="D15" s="1" t="n">
        <v>45940</v>
      </c>
      <c r="E15" s="1" t="n">
        <v>46233</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0</v>
      </c>
      <c r="V15" s="2" t="inlineStr">
        <is>
          <t>Långbensgroda</t>
        </is>
      </c>
      <c r="W15">
        <f>HYPERLINK("https://klasma.github.io/Logging_1270/artfynd/A 49813-2025 artfynd.xlsx", "A 49813-2025")</f>
        <v/>
      </c>
      <c r="X15">
        <f>HYPERLINK("https://klasma.github.io/Logging_1270/kartor/A 49813-2025 karta.png", "A 49813-2025")</f>
        <v/>
      </c>
      <c r="Y15">
        <f>HYPERLINK("https://klasma.github.io/Logging_1270/kartor_geotiff/A 49813-2025 georefererad karta.tif", "A 49813-2025")</f>
        <v/>
      </c>
      <c r="AA15">
        <f>HYPERLINK("https://klasma.github.io/Logging_1270/klagomål/A 49813-2025 FSC-klagomål.docx", "A 49813-2025")</f>
        <v/>
      </c>
      <c r="AB15">
        <f>HYPERLINK("https://klasma.github.io/Logging_1270/klagomålsmail/A 49813-2025 FSC-klagomål mail.docx", "A 49813-2025")</f>
        <v/>
      </c>
      <c r="AC15">
        <f>HYPERLINK("https://klasma.github.io/Logging_1270/tillsyn/A 49813-2025 tillsynsbegäran.docx", "A 49813-2025")</f>
        <v/>
      </c>
      <c r="AD15">
        <f>HYPERLINK("https://klasma.github.io/Logging_1270/tillsynsmail/A 49813-2025 tillsynsbegäran mail.docx", "A 49813-2025")</f>
        <v/>
      </c>
    </row>
    <row r="16" ht="15" customHeight="1">
      <c r="A16" t="inlineStr">
        <is>
          <t>A 26958-2025</t>
        </is>
      </c>
      <c r="B16" t="inlineStr">
        <is>
          <t>avverkningsanmälan</t>
        </is>
      </c>
      <c r="C16" t="inlineStr">
        <is>
          <t>Föryngringsavverkning</t>
        </is>
      </c>
      <c r="D16" s="1" t="n">
        <v>45811</v>
      </c>
      <c r="E16" s="1" t="n">
        <v>46233</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61314-2025</t>
        </is>
      </c>
      <c r="B17" t="inlineStr">
        <is>
          <t>avverkningsanmälan</t>
        </is>
      </c>
      <c r="C17" t="inlineStr">
        <is>
          <t>Föryngringsavverkning</t>
        </is>
      </c>
      <c r="D17" s="1" t="n">
        <v>46000</v>
      </c>
      <c r="E17" s="1" t="n">
        <v>46233</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6262-2024</t>
        </is>
      </c>
      <c r="B18" t="inlineStr">
        <is>
          <t>avverkningsanmälan</t>
        </is>
      </c>
      <c r="C18" t="inlineStr">
        <is>
          <t>Föryngringsavverkning</t>
        </is>
      </c>
      <c r="D18" s="1" t="n">
        <v>45337</v>
      </c>
      <c r="E18" s="1" t="n">
        <v>46233</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HYPERLINK("https://klasma.github.io/Logging_1270/artfynd/A 6262-2024 artfynd.xlsx", "A 6262-2024")</f>
        <v/>
      </c>
      <c r="X18">
        <f>HYPERLINK("https://klasma.github.io/Logging_1270/kartor/A 6262-2024 karta.png", "A 6262-2024")</f>
        <v/>
      </c>
      <c r="Y18">
        <f>HYPERLINK("https://klasma.github.io/Logging_1270/kartor_geotiff/A 6262-2024 georefererad karta.tif", "A 6262-2024")</f>
        <v/>
      </c>
      <c r="AA18">
        <f>HYPERLINK("https://klasma.github.io/Logging_1270/klagomål/A 6262-2024 FSC-klagomål.docx", "A 6262-2024")</f>
        <v/>
      </c>
      <c r="AB18">
        <f>HYPERLINK("https://klasma.github.io/Logging_1270/klagomålsmail/A 6262-2024 FSC-klagomål mail.docx", "A 6262-2024")</f>
        <v/>
      </c>
      <c r="AC18">
        <f>HYPERLINK("https://klasma.github.io/Logging_1270/tillsyn/A 6262-2024 tillsynsbegäran.docx", "A 6262-2024")</f>
        <v/>
      </c>
      <c r="AD18">
        <f>HYPERLINK("https://klasma.github.io/Logging_1270/tillsynsmail/A 6262-2024 tillsynsbegäran mail.docx", "A 6262-2024")</f>
        <v/>
      </c>
    </row>
    <row r="19" ht="15" customHeight="1">
      <c r="A19" t="inlineStr">
        <is>
          <t>A 28862-2023</t>
        </is>
      </c>
      <c r="B19" t="inlineStr">
        <is>
          <t>avverkningsanmälan</t>
        </is>
      </c>
      <c r="C19" t="inlineStr">
        <is>
          <t>Föryngringsavverkning</t>
        </is>
      </c>
      <c r="D19" s="1" t="n">
        <v>45104</v>
      </c>
      <c r="E19" s="1" t="n">
        <v>46233</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60820-2023</t>
        </is>
      </c>
      <c r="B20" t="inlineStr">
        <is>
          <t>avverkningsanmälan</t>
        </is>
      </c>
      <c r="C20" t="inlineStr">
        <is>
          <t>Föryngringsavverkning</t>
        </is>
      </c>
      <c r="D20" s="1" t="n">
        <v>45260</v>
      </c>
      <c r="E20" s="1" t="n">
        <v>46233</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46233</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46233</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20397-2026</t>
        </is>
      </c>
      <c r="B23" t="inlineStr">
        <is>
          <t>avverkningsanmälan</t>
        </is>
      </c>
      <c r="C23" t="inlineStr">
        <is>
          <t>Föryngringsavverkning</t>
        </is>
      </c>
      <c r="D23" s="1" t="n">
        <v>46139</v>
      </c>
      <c r="E23" s="1" t="n">
        <v>46233</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26823-2026</t>
        </is>
      </c>
      <c r="B24" t="inlineStr">
        <is>
          <t>avverkningsanmälan</t>
        </is>
      </c>
      <c r="C24" t="inlineStr">
        <is>
          <t>Föryngringsavverkning</t>
        </is>
      </c>
      <c r="D24" s="1" t="n">
        <v>46183</v>
      </c>
      <c r="E24" s="1" t="n">
        <v>46233</v>
      </c>
      <c r="F24" t="inlineStr">
        <is>
          <t>SKÅNE LÄN</t>
        </is>
      </c>
      <c r="G24" t="inlineStr">
        <is>
          <t>TOMELILLA</t>
        </is>
      </c>
      <c r="I24" t="n">
        <v>12.9</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46233</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46233</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46233</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46233</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46233</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46233</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46233</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46233</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11802-2024</t>
        </is>
      </c>
      <c r="B33" t="inlineStr">
        <is>
          <t>avverkningsanmälan</t>
        </is>
      </c>
      <c r="C33" t="inlineStr">
        <is>
          <t>Föryngringsavverkning</t>
        </is>
      </c>
      <c r="D33" s="1" t="n">
        <v>45375</v>
      </c>
      <c r="E33" s="1" t="n">
        <v>46233</v>
      </c>
      <c r="F33" t="inlineStr">
        <is>
          <t>SKÅNE LÄN</t>
        </is>
      </c>
      <c r="G33" t="inlineStr">
        <is>
          <t>TOMELILLA</t>
        </is>
      </c>
      <c r="H33" t="inlineStr">
        <is>
          <t>Övriga Aktiebolag</t>
        </is>
      </c>
      <c r="I33" t="n">
        <v>4.7</v>
      </c>
      <c r="J33" t="n">
        <v>0</v>
      </c>
      <c r="K33" t="n">
        <v>0</v>
      </c>
      <c r="L33" t="n">
        <v>0</v>
      </c>
      <c r="M33" t="n">
        <v>0</v>
      </c>
      <c r="N33" t="n">
        <v>0</v>
      </c>
      <c r="O33" t="n">
        <v>0</v>
      </c>
      <c r="P33" t="n">
        <v>0</v>
      </c>
      <c r="Q33" t="n">
        <v>0</v>
      </c>
      <c r="R33" t="n">
        <v>0</v>
      </c>
      <c r="S33" t="n">
        <v>0</v>
      </c>
      <c r="T33" t="n">
        <v>0</v>
      </c>
      <c r="U33" t="n">
        <v>0</v>
      </c>
      <c r="V33" s="2" t="inlineStr"/>
    </row>
    <row r="34" ht="15" customHeight="1">
      <c r="A34" t="inlineStr">
        <is>
          <t>A 4023-2024</t>
        </is>
      </c>
      <c r="B34" t="inlineStr">
        <is>
          <t>avverkningsanmälan</t>
        </is>
      </c>
      <c r="C34" t="inlineStr">
        <is>
          <t>Föryngringsavverkning</t>
        </is>
      </c>
      <c r="D34" s="1" t="n">
        <v>45323</v>
      </c>
      <c r="E34" s="1" t="n">
        <v>46233</v>
      </c>
      <c r="F34" t="inlineStr">
        <is>
          <t>SKÅNE LÄN</t>
        </is>
      </c>
      <c r="G34" t="inlineStr">
        <is>
          <t>TOMELILLA</t>
        </is>
      </c>
      <c r="H34" t="inlineStr">
        <is>
          <t>Övriga Aktiebolag</t>
        </is>
      </c>
      <c r="I34" t="n">
        <v>15.2</v>
      </c>
      <c r="J34" t="n">
        <v>0</v>
      </c>
      <c r="K34" t="n">
        <v>0</v>
      </c>
      <c r="L34" t="n">
        <v>0</v>
      </c>
      <c r="M34" t="n">
        <v>0</v>
      </c>
      <c r="N34" t="n">
        <v>0</v>
      </c>
      <c r="O34" t="n">
        <v>0</v>
      </c>
      <c r="P34" t="n">
        <v>0</v>
      </c>
      <c r="Q34" t="n">
        <v>0</v>
      </c>
      <c r="R34" t="n">
        <v>0</v>
      </c>
      <c r="S34" t="n">
        <v>0</v>
      </c>
      <c r="T34" t="n">
        <v>0</v>
      </c>
      <c r="U34" t="n">
        <v>0</v>
      </c>
      <c r="V34" s="2" t="inlineStr"/>
    </row>
    <row r="35" ht="15" customHeight="1">
      <c r="A35" t="inlineStr">
        <is>
          <t>A 19454-2024</t>
        </is>
      </c>
      <c r="B35" t="inlineStr">
        <is>
          <t>avverkningsanmälan</t>
        </is>
      </c>
      <c r="C35" t="inlineStr">
        <is>
          <t>Föryngringsavverkning</t>
        </is>
      </c>
      <c r="D35" s="1" t="n">
        <v>45429</v>
      </c>
      <c r="E35" s="1" t="n">
        <v>46233</v>
      </c>
      <c r="F35" t="inlineStr">
        <is>
          <t>SKÅNE LÄN</t>
        </is>
      </c>
      <c r="G35" t="inlineStr">
        <is>
          <t>TOMELILLA</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23813-2024</t>
        </is>
      </c>
      <c r="B36" t="inlineStr">
        <is>
          <t>avverkningsanmälan</t>
        </is>
      </c>
      <c r="C36" t="inlineStr">
        <is>
          <t>Föryngringsavverkning</t>
        </is>
      </c>
      <c r="D36" s="1" t="n">
        <v>45455</v>
      </c>
      <c r="E36" s="1" t="n">
        <v>46233</v>
      </c>
      <c r="F36" t="inlineStr">
        <is>
          <t>SKÅNE LÄN</t>
        </is>
      </c>
      <c r="G36" t="inlineStr">
        <is>
          <t>TOMELILLA</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24248-2024</t>
        </is>
      </c>
      <c r="B37" t="inlineStr">
        <is>
          <t>avverkningsanmälan</t>
        </is>
      </c>
      <c r="C37" t="inlineStr">
        <is>
          <t>Föryngringsavverkning</t>
        </is>
      </c>
      <c r="D37" s="1" t="n">
        <v>45457</v>
      </c>
      <c r="E37" s="1" t="n">
        <v>46233</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46233</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46233</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44675-2024</t>
        </is>
      </c>
      <c r="B40" t="inlineStr">
        <is>
          <t>avverkningsanmälan</t>
        </is>
      </c>
      <c r="C40" t="inlineStr">
        <is>
          <t>Avverkning för att bevara och utveckla /försöksver</t>
        </is>
      </c>
      <c r="D40" s="1" t="n">
        <v>45574</v>
      </c>
      <c r="E40" s="1" t="n">
        <v>46233</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t="n">
        <v>0</v>
      </c>
      <c r="V40" s="2" t="inlineStr"/>
    </row>
    <row r="41" ht="15" customHeight="1">
      <c r="A41" t="inlineStr">
        <is>
          <t>A 17316-2024</t>
        </is>
      </c>
      <c r="B41" t="inlineStr">
        <is>
          <t>avverkningsanmälan</t>
        </is>
      </c>
      <c r="C41" t="inlineStr">
        <is>
          <t>Föryngringsavverkning</t>
        </is>
      </c>
      <c r="D41" s="1" t="n">
        <v>45414</v>
      </c>
      <c r="E41" s="1" t="n">
        <v>46233</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11811-2025</t>
        </is>
      </c>
      <c r="B42" t="inlineStr">
        <is>
          <t>avverkningsanmälan</t>
        </is>
      </c>
      <c r="C42" t="inlineStr">
        <is>
          <t>Föryngringsavverkning</t>
        </is>
      </c>
      <c r="D42" s="1" t="n">
        <v>45727</v>
      </c>
      <c r="E42" s="1" t="n">
        <v>46233</v>
      </c>
      <c r="F42" t="inlineStr">
        <is>
          <t>SKÅNE LÄN</t>
        </is>
      </c>
      <c r="G42" t="inlineStr">
        <is>
          <t>TOMELILLA</t>
        </is>
      </c>
      <c r="I42" t="n">
        <v>9.699999999999999</v>
      </c>
      <c r="J42" t="n">
        <v>0</v>
      </c>
      <c r="K42" t="n">
        <v>0</v>
      </c>
      <c r="L42" t="n">
        <v>0</v>
      </c>
      <c r="M42" t="n">
        <v>0</v>
      </c>
      <c r="N42" t="n">
        <v>0</v>
      </c>
      <c r="O42" t="n">
        <v>0</v>
      </c>
      <c r="P42" t="n">
        <v>0</v>
      </c>
      <c r="Q42" t="n">
        <v>0</v>
      </c>
      <c r="R42" t="n">
        <v>0</v>
      </c>
      <c r="S42" t="n">
        <v>0</v>
      </c>
      <c r="T42" t="n">
        <v>0</v>
      </c>
      <c r="U42" t="n">
        <v>0</v>
      </c>
      <c r="V42" s="2" t="inlineStr"/>
    </row>
    <row r="43" ht="15" customHeight="1">
      <c r="A43" t="inlineStr">
        <is>
          <t>A 16568-2024</t>
        </is>
      </c>
      <c r="B43" t="inlineStr">
        <is>
          <t>avverkningsanmälan</t>
        </is>
      </c>
      <c r="C43" t="inlineStr">
        <is>
          <t>Föryngringsavverkning</t>
        </is>
      </c>
      <c r="D43" s="1" t="n">
        <v>45408</v>
      </c>
      <c r="E43" s="1" t="n">
        <v>46233</v>
      </c>
      <c r="F43" t="inlineStr">
        <is>
          <t>SKÅNE LÄN</t>
        </is>
      </c>
      <c r="G43" t="inlineStr">
        <is>
          <t>TOMELILLA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12310-2023</t>
        </is>
      </c>
      <c r="B44" t="inlineStr">
        <is>
          <t>avverkningsanmälan</t>
        </is>
      </c>
      <c r="C44" t="inlineStr">
        <is>
          <t>Föryngringsavverkning</t>
        </is>
      </c>
      <c r="D44" s="1" t="n">
        <v>44999</v>
      </c>
      <c r="E44" s="1" t="n">
        <v>46233</v>
      </c>
      <c r="F44" t="inlineStr">
        <is>
          <t>SKÅNE LÄN</t>
        </is>
      </c>
      <c r="G44" t="inlineStr">
        <is>
          <t>TOMELILLA</t>
        </is>
      </c>
      <c r="H44" t="inlineStr">
        <is>
          <t>Sveaskog</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46233</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7955-2024</t>
        </is>
      </c>
      <c r="B46" t="inlineStr">
        <is>
          <t>avverkningsanmälan</t>
        </is>
      </c>
      <c r="C46" t="inlineStr">
        <is>
          <t>Föryngringsavverkning</t>
        </is>
      </c>
      <c r="D46" s="1" t="n">
        <v>45350</v>
      </c>
      <c r="E46" s="1" t="n">
        <v>46233</v>
      </c>
      <c r="F46" t="inlineStr">
        <is>
          <t>SKÅNE LÄN</t>
        </is>
      </c>
      <c r="G46" t="inlineStr">
        <is>
          <t>TOMELILLA</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42794-2024</t>
        </is>
      </c>
      <c r="B47" t="inlineStr">
        <is>
          <t>avverkningsanmälan</t>
        </is>
      </c>
      <c r="C47" t="inlineStr">
        <is>
          <t>Föryngringsavverkning</t>
        </is>
      </c>
      <c r="D47" s="1" t="n">
        <v>45566</v>
      </c>
      <c r="E47" s="1" t="n">
        <v>46233</v>
      </c>
      <c r="F47" t="inlineStr">
        <is>
          <t>SKÅNE LÄN</t>
        </is>
      </c>
      <c r="G47" t="inlineStr">
        <is>
          <t>TOMELILLA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15158-2025</t>
        </is>
      </c>
      <c r="B48" t="inlineStr">
        <is>
          <t>avverkningsanmälan</t>
        </is>
      </c>
      <c r="C48" t="inlineStr">
        <is>
          <t>Föryngringsavverkning</t>
        </is>
      </c>
      <c r="D48" s="1" t="n">
        <v>45744</v>
      </c>
      <c r="E48" s="1" t="n">
        <v>46233</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46233</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2190-2022</t>
        </is>
      </c>
      <c r="B50" t="inlineStr">
        <is>
          <t>avverkningsanmälan</t>
        </is>
      </c>
      <c r="C50" t="inlineStr">
        <is>
          <t>Föryngringsavverkning</t>
        </is>
      </c>
      <c r="D50" s="1" t="n">
        <v>44578</v>
      </c>
      <c r="E50" s="1" t="n">
        <v>46233</v>
      </c>
      <c r="F50" t="inlineStr">
        <is>
          <t>SKÅNE LÄN</t>
        </is>
      </c>
      <c r="G50" t="inlineStr">
        <is>
          <t>TOMELILLA</t>
        </is>
      </c>
      <c r="H50" t="inlineStr">
        <is>
          <t>Sveaskog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10272-2023</t>
        </is>
      </c>
      <c r="B51" t="inlineStr">
        <is>
          <t>avverkningsanmälan</t>
        </is>
      </c>
      <c r="C51" t="inlineStr">
        <is>
          <t>Föryngringsavverkning</t>
        </is>
      </c>
      <c r="D51" s="1" t="n">
        <v>44986</v>
      </c>
      <c r="E51" s="1" t="n">
        <v>46233</v>
      </c>
      <c r="F51" t="inlineStr">
        <is>
          <t>SKÅNE LÄN</t>
        </is>
      </c>
      <c r="G51" t="inlineStr">
        <is>
          <t>TOMELILLA</t>
        </is>
      </c>
      <c r="H51" t="inlineStr">
        <is>
          <t>Övriga Aktiebolag</t>
        </is>
      </c>
      <c r="I51" t="n">
        <v>7.7</v>
      </c>
      <c r="J51" t="n">
        <v>0</v>
      </c>
      <c r="K51" t="n">
        <v>0</v>
      </c>
      <c r="L51" t="n">
        <v>0</v>
      </c>
      <c r="M51" t="n">
        <v>0</v>
      </c>
      <c r="N51" t="n">
        <v>0</v>
      </c>
      <c r="O51" t="n">
        <v>0</v>
      </c>
      <c r="P51" t="n">
        <v>0</v>
      </c>
      <c r="Q51" t="n">
        <v>0</v>
      </c>
      <c r="R51" t="n">
        <v>0</v>
      </c>
      <c r="S51" t="n">
        <v>0</v>
      </c>
      <c r="T51" t="n">
        <v>0</v>
      </c>
      <c r="U51" t="n">
        <v>0</v>
      </c>
      <c r="V51" s="2" t="inlineStr"/>
    </row>
    <row r="52" ht="15" customHeight="1">
      <c r="A52" t="inlineStr">
        <is>
          <t>A 49815-2025</t>
        </is>
      </c>
      <c r="B52" t="inlineStr">
        <is>
          <t>avverkningsanmälan</t>
        </is>
      </c>
      <c r="C52" t="inlineStr">
        <is>
          <t>Föryngringsavverkning</t>
        </is>
      </c>
      <c r="D52" s="1" t="n">
        <v>45940</v>
      </c>
      <c r="E52" s="1" t="n">
        <v>46233</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55676-2022</t>
        </is>
      </c>
      <c r="B53" t="inlineStr">
        <is>
          <t>avverkningsanmälan</t>
        </is>
      </c>
      <c r="C53" t="inlineStr">
        <is>
          <t>Föryngringsavverkning</t>
        </is>
      </c>
      <c r="D53" s="1" t="n">
        <v>44888</v>
      </c>
      <c r="E53" s="1" t="n">
        <v>46233</v>
      </c>
      <c r="F53" t="inlineStr">
        <is>
          <t>SKÅNE LÄN</t>
        </is>
      </c>
      <c r="G53" t="inlineStr">
        <is>
          <t>TOMELILLA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35792-2025</t>
        </is>
      </c>
      <c r="B54" t="inlineStr">
        <is>
          <t>avverkningsanmälan</t>
        </is>
      </c>
      <c r="C54" t="inlineStr">
        <is>
          <t>Föryngringsavverkning</t>
        </is>
      </c>
      <c r="D54" s="1" t="n">
        <v>45861</v>
      </c>
      <c r="E54" s="1" t="n">
        <v>46233</v>
      </c>
      <c r="F54" t="inlineStr">
        <is>
          <t>SKÅNE LÄN</t>
        </is>
      </c>
      <c r="G54" t="inlineStr">
        <is>
          <t>TOMELILLA</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35971-2025</t>
        </is>
      </c>
      <c r="B55" t="inlineStr">
        <is>
          <t>avverkningsanmälan</t>
        </is>
      </c>
      <c r="C55" t="inlineStr">
        <is>
          <t>Föryngringsavverkning</t>
        </is>
      </c>
      <c r="D55" s="1" t="n">
        <v>45863</v>
      </c>
      <c r="E55" s="1" t="n">
        <v>46233</v>
      </c>
      <c r="F55" t="inlineStr">
        <is>
          <t>SKÅNE LÄN</t>
        </is>
      </c>
      <c r="G55" t="inlineStr">
        <is>
          <t>TOMELILLA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30806-2023</t>
        </is>
      </c>
      <c r="B56" t="inlineStr">
        <is>
          <t>avverkningsanmälan</t>
        </is>
      </c>
      <c r="C56" t="inlineStr">
        <is>
          <t>Föryngringsavverkning</t>
        </is>
      </c>
      <c r="D56" s="1" t="n">
        <v>45112</v>
      </c>
      <c r="E56" s="1" t="n">
        <v>46233</v>
      </c>
      <c r="F56" t="inlineStr">
        <is>
          <t>SKÅNE LÄN</t>
        </is>
      </c>
      <c r="G56" t="inlineStr">
        <is>
          <t>TOMELILLA</t>
        </is>
      </c>
      <c r="H56" t="inlineStr">
        <is>
          <t>Övriga Aktiebolag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4969-2026</t>
        </is>
      </c>
      <c r="B57" t="inlineStr">
        <is>
          <t>avverkningsanmälan</t>
        </is>
      </c>
      <c r="C57" t="inlineStr">
        <is>
          <t>Föryngringsavverkning</t>
        </is>
      </c>
      <c r="D57" s="1" t="n">
        <v>46049</v>
      </c>
      <c r="E57" s="1" t="n">
        <v>46233</v>
      </c>
      <c r="F57" t="inlineStr">
        <is>
          <t>SKÅNE LÄN</t>
        </is>
      </c>
      <c r="G57" t="inlineStr">
        <is>
          <t>TOMELILLA</t>
        </is>
      </c>
      <c r="H57" t="inlineStr">
        <is>
          <t>Övriga Aktiebolag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48171-2025</t>
        </is>
      </c>
      <c r="B58" t="inlineStr">
        <is>
          <t>avverkningsanmälan</t>
        </is>
      </c>
      <c r="C58" t="inlineStr">
        <is>
          <t>Föryngringsavverkning</t>
        </is>
      </c>
      <c r="D58" s="1" t="n">
        <v>45933</v>
      </c>
      <c r="E58" s="1" t="n">
        <v>46233</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46233</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46233</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8455-2024</t>
        </is>
      </c>
      <c r="B61" t="inlineStr">
        <is>
          <t>avverkningsanmälan</t>
        </is>
      </c>
      <c r="C61" t="inlineStr">
        <is>
          <t>Föryngringsavverkning</t>
        </is>
      </c>
      <c r="D61" s="1" t="n">
        <v>45354</v>
      </c>
      <c r="E61" s="1" t="n">
        <v>46233</v>
      </c>
      <c r="F61" t="inlineStr">
        <is>
          <t>SKÅNE LÄN</t>
        </is>
      </c>
      <c r="G61" t="inlineStr">
        <is>
          <t>TOMELILLA</t>
        </is>
      </c>
      <c r="H61" t="inlineStr">
        <is>
          <t>Övriga Aktiebolag</t>
        </is>
      </c>
      <c r="I61" t="n">
        <v>5.1</v>
      </c>
      <c r="J61" t="n">
        <v>0</v>
      </c>
      <c r="K61" t="n">
        <v>0</v>
      </c>
      <c r="L61" t="n">
        <v>0</v>
      </c>
      <c r="M61" t="n">
        <v>0</v>
      </c>
      <c r="N61" t="n">
        <v>0</v>
      </c>
      <c r="O61" t="n">
        <v>0</v>
      </c>
      <c r="P61" t="n">
        <v>0</v>
      </c>
      <c r="Q61" t="n">
        <v>0</v>
      </c>
      <c r="R61" t="n">
        <v>0</v>
      </c>
      <c r="S61" t="n">
        <v>0</v>
      </c>
      <c r="T61" t="n">
        <v>0</v>
      </c>
      <c r="U61" t="n">
        <v>0</v>
      </c>
      <c r="V61" s="2" t="inlineStr"/>
    </row>
    <row r="62" ht="15" customHeight="1">
      <c r="A62" t="inlineStr">
        <is>
          <t>A 13159-2024</t>
        </is>
      </c>
      <c r="B62" t="inlineStr">
        <is>
          <t>avverkningsanmälan</t>
        </is>
      </c>
      <c r="C62" t="inlineStr">
        <is>
          <t>Föryngringsavverkning</t>
        </is>
      </c>
      <c r="D62" s="1" t="n">
        <v>45386</v>
      </c>
      <c r="E62" s="1" t="n">
        <v>46233</v>
      </c>
      <c r="F62" t="inlineStr">
        <is>
          <t>SKÅNE LÄN</t>
        </is>
      </c>
      <c r="G62" t="inlineStr">
        <is>
          <t>TOMELILLA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7745-2025</t>
        </is>
      </c>
      <c r="B63" t="inlineStr">
        <is>
          <t>avverkningsanmälan</t>
        </is>
      </c>
      <c r="C63" t="inlineStr">
        <is>
          <t>Avverkning för annat ändamål</t>
        </is>
      </c>
      <c r="D63" s="1" t="n">
        <v>45706</v>
      </c>
      <c r="E63" s="1" t="n">
        <v>46233</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15921-2025</t>
        </is>
      </c>
      <c r="B64" t="inlineStr">
        <is>
          <t>avverkningsanmälan</t>
        </is>
      </c>
      <c r="C64" t="inlineStr">
        <is>
          <t>Föryngringsavverkning</t>
        </is>
      </c>
      <c r="D64" s="1" t="n">
        <v>45749</v>
      </c>
      <c r="E64" s="1" t="n">
        <v>46233</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15305-2025</t>
        </is>
      </c>
      <c r="B65" t="inlineStr">
        <is>
          <t>avverkningsanmälan</t>
        </is>
      </c>
      <c r="C65" t="inlineStr">
        <is>
          <t>Avverkning för annat ändamål</t>
        </is>
      </c>
      <c r="D65" s="1" t="n">
        <v>45746</v>
      </c>
      <c r="E65" s="1" t="n">
        <v>46233</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49913-2025</t>
        </is>
      </c>
      <c r="B66" t="inlineStr">
        <is>
          <t>avverkningsanmälan</t>
        </is>
      </c>
      <c r="C66" t="inlineStr">
        <is>
          <t>Avverkning för annat ändamål</t>
        </is>
      </c>
      <c r="D66" s="1" t="n">
        <v>45940</v>
      </c>
      <c r="E66" s="1" t="n">
        <v>46233</v>
      </c>
      <c r="F66" t="inlineStr">
        <is>
          <t>SKÅNE LÄN</t>
        </is>
      </c>
      <c r="G66" t="inlineStr">
        <is>
          <t>TOMELILLA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61970-2025</t>
        </is>
      </c>
      <c r="B67" t="inlineStr">
        <is>
          <t>avverkningsanmälan</t>
        </is>
      </c>
      <c r="C67" t="inlineStr">
        <is>
          <t>Avverkning för annat ändamål</t>
        </is>
      </c>
      <c r="D67" s="1" t="n">
        <v>46003</v>
      </c>
      <c r="E67" s="1" t="n">
        <v>46233</v>
      </c>
      <c r="F67" t="inlineStr">
        <is>
          <t>SKÅNE LÄN</t>
        </is>
      </c>
      <c r="G67" t="inlineStr">
        <is>
          <t>TOMELILLA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28966-2022</t>
        </is>
      </c>
      <c r="B68" t="inlineStr">
        <is>
          <t>avverkningsanmälan</t>
        </is>
      </c>
      <c r="C68" t="inlineStr">
        <is>
          <t>Avverkning för annat ändamål</t>
        </is>
      </c>
      <c r="D68" s="1" t="n">
        <v>44749</v>
      </c>
      <c r="E68" s="1" t="n">
        <v>46233</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578-2024</t>
        </is>
      </c>
      <c r="B69" t="inlineStr">
        <is>
          <t>avverkningsanmälan</t>
        </is>
      </c>
      <c r="C69" t="inlineStr">
        <is>
          <t>Föryngringsavverkning</t>
        </is>
      </c>
      <c r="D69" s="1" t="n">
        <v>45299</v>
      </c>
      <c r="E69" s="1" t="n">
        <v>46233</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t="n">
        <v>0</v>
      </c>
      <c r="V69" s="2" t="inlineStr"/>
    </row>
    <row r="70" ht="15" customHeight="1">
      <c r="A70" t="inlineStr">
        <is>
          <t>A 12988-2024</t>
        </is>
      </c>
      <c r="B70" t="inlineStr">
        <is>
          <t>avverkningsanmälan</t>
        </is>
      </c>
      <c r="C70" t="inlineStr">
        <is>
          <t>Föryngringsavverkning</t>
        </is>
      </c>
      <c r="D70" s="1" t="n">
        <v>45385</v>
      </c>
      <c r="E70" s="1" t="n">
        <v>46233</v>
      </c>
      <c r="F70" t="inlineStr">
        <is>
          <t>SKÅNE LÄN</t>
        </is>
      </c>
      <c r="G70" t="inlineStr">
        <is>
          <t>TOMELILLA</t>
        </is>
      </c>
      <c r="H70" t="inlineStr">
        <is>
          <t>Övriga Aktiebolag</t>
        </is>
      </c>
      <c r="I70" t="n">
        <v>16.2</v>
      </c>
      <c r="J70" t="n">
        <v>0</v>
      </c>
      <c r="K70" t="n">
        <v>0</v>
      </c>
      <c r="L70" t="n">
        <v>0</v>
      </c>
      <c r="M70" t="n">
        <v>0</v>
      </c>
      <c r="N70" t="n">
        <v>0</v>
      </c>
      <c r="O70" t="n">
        <v>0</v>
      </c>
      <c r="P70" t="n">
        <v>0</v>
      </c>
      <c r="Q70" t="n">
        <v>0</v>
      </c>
      <c r="R70" t="n">
        <v>0</v>
      </c>
      <c r="S70" t="n">
        <v>0</v>
      </c>
      <c r="T70" t="n">
        <v>0</v>
      </c>
      <c r="U70" t="n">
        <v>0</v>
      </c>
      <c r="V70" s="2" t="inlineStr"/>
    </row>
    <row r="71" ht="15" customHeight="1">
      <c r="A71" t="inlineStr">
        <is>
          <t>A 6124-2026</t>
        </is>
      </c>
      <c r="B71" t="inlineStr">
        <is>
          <t>avverkningsanmälan</t>
        </is>
      </c>
      <c r="C71" t="inlineStr">
        <is>
          <t>Föryngringsavverkning</t>
        </is>
      </c>
      <c r="D71" s="1" t="n">
        <v>46053</v>
      </c>
      <c r="E71" s="1" t="n">
        <v>46233</v>
      </c>
      <c r="F71" t="inlineStr">
        <is>
          <t>SKÅNE LÄN</t>
        </is>
      </c>
      <c r="G71" t="inlineStr">
        <is>
          <t>TOMELILLA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16621-2026</t>
        </is>
      </c>
      <c r="B72" t="inlineStr">
        <is>
          <t>avverkningsanmälan</t>
        </is>
      </c>
      <c r="C72" t="inlineStr">
        <is>
          <t>Föryngringsavverkning</t>
        </is>
      </c>
      <c r="D72" s="1" t="n">
        <v>46112</v>
      </c>
      <c r="E72" s="1" t="n">
        <v>46233</v>
      </c>
      <c r="F72" t="inlineStr">
        <is>
          <t>SKÅNE LÄN</t>
        </is>
      </c>
      <c r="G72" t="inlineStr">
        <is>
          <t>TOMELILLA</t>
        </is>
      </c>
      <c r="H72" t="inlineStr">
        <is>
          <t>Kommuner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46233</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46233</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15012-2024</t>
        </is>
      </c>
      <c r="B75" t="inlineStr">
        <is>
          <t>avverkningsanmälan</t>
        </is>
      </c>
      <c r="C75" t="inlineStr">
        <is>
          <t>Föryngringsavverkning</t>
        </is>
      </c>
      <c r="D75" s="1" t="n">
        <v>45399</v>
      </c>
      <c r="E75" s="1" t="n">
        <v>46233</v>
      </c>
      <c r="F75" t="inlineStr">
        <is>
          <t>SKÅNE LÄN</t>
        </is>
      </c>
      <c r="G75" t="inlineStr">
        <is>
          <t>TOMELILLA</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61841-2025</t>
        </is>
      </c>
      <c r="B76" t="inlineStr">
        <is>
          <t>avverkningsanmälan</t>
        </is>
      </c>
      <c r="C76" t="inlineStr">
        <is>
          <t>Föryngringsavverkning</t>
        </is>
      </c>
      <c r="D76" s="1" t="n">
        <v>46003</v>
      </c>
      <c r="E76" s="1" t="n">
        <v>46233</v>
      </c>
      <c r="F76" t="inlineStr">
        <is>
          <t>SKÅNE LÄN</t>
        </is>
      </c>
      <c r="G76" t="inlineStr">
        <is>
          <t>TOMELILLA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2555-2022</t>
        </is>
      </c>
      <c r="B77" t="inlineStr">
        <is>
          <t>avverkningsanmälan</t>
        </is>
      </c>
      <c r="C77" t="inlineStr">
        <is>
          <t>Föryngringsavverkning</t>
        </is>
      </c>
      <c r="D77" s="1" t="n">
        <v>44579</v>
      </c>
      <c r="E77" s="1" t="n">
        <v>46233</v>
      </c>
      <c r="F77" t="inlineStr">
        <is>
          <t>SKÅNE LÄN</t>
        </is>
      </c>
      <c r="G77" t="inlineStr">
        <is>
          <t>TOMELILLA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4651-2024</t>
        </is>
      </c>
      <c r="B78" t="inlineStr">
        <is>
          <t>avverkningsanmälan</t>
        </is>
      </c>
      <c r="C78" t="inlineStr">
        <is>
          <t>Föryngringsavverkning</t>
        </is>
      </c>
      <c r="D78" s="1" t="n">
        <v>45328</v>
      </c>
      <c r="E78" s="1" t="n">
        <v>46233</v>
      </c>
      <c r="F78" t="inlineStr">
        <is>
          <t>SKÅNE LÄN</t>
        </is>
      </c>
      <c r="G78" t="inlineStr">
        <is>
          <t>TOMELILLA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30040-2024</t>
        </is>
      </c>
      <c r="B79" t="inlineStr">
        <is>
          <t>avverkningsanmälan</t>
        </is>
      </c>
      <c r="C79" t="inlineStr">
        <is>
          <t>Avverkning för annat ändamål</t>
        </is>
      </c>
      <c r="D79" s="1" t="n">
        <v>45488</v>
      </c>
      <c r="E79" s="1" t="n">
        <v>46233</v>
      </c>
      <c r="F79" t="inlineStr">
        <is>
          <t>SKÅNE LÄN</t>
        </is>
      </c>
      <c r="G79" t="inlineStr">
        <is>
          <t>TOMELILLA</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6357-2024</t>
        </is>
      </c>
      <c r="B80" t="inlineStr">
        <is>
          <t>avverkningsanmälan</t>
        </is>
      </c>
      <c r="C80" t="inlineStr">
        <is>
          <t>Föryngringsavverkning</t>
        </is>
      </c>
      <c r="D80" s="1" t="n">
        <v>45338</v>
      </c>
      <c r="E80" s="1" t="n">
        <v>46233</v>
      </c>
      <c r="F80" t="inlineStr">
        <is>
          <t>SKÅNE LÄN</t>
        </is>
      </c>
      <c r="G80" t="inlineStr">
        <is>
          <t>TOMELILLA</t>
        </is>
      </c>
      <c r="H80" t="inlineStr">
        <is>
          <t>Kyrkan</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4482-2026</t>
        </is>
      </c>
      <c r="B81" t="inlineStr">
        <is>
          <t>avverkningsanmälan</t>
        </is>
      </c>
      <c r="C81" t="inlineStr">
        <is>
          <t>Föryngringsavverkning</t>
        </is>
      </c>
      <c r="D81" s="1" t="n">
        <v>46045</v>
      </c>
      <c r="E81" s="1" t="n">
        <v>46233</v>
      </c>
      <c r="F81" t="inlineStr">
        <is>
          <t>SKÅNE LÄN</t>
        </is>
      </c>
      <c r="G81" t="inlineStr">
        <is>
          <t>TOMELILLA</t>
        </is>
      </c>
      <c r="H81" t="inlineStr">
        <is>
          <t>Övriga Aktiebolag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30673-2023</t>
        </is>
      </c>
      <c r="B82" t="inlineStr">
        <is>
          <t>avverkningsanmälan</t>
        </is>
      </c>
      <c r="C82" t="inlineStr">
        <is>
          <t>Föryngringsavverkning</t>
        </is>
      </c>
      <c r="D82" s="1" t="n">
        <v>45112</v>
      </c>
      <c r="E82" s="1" t="n">
        <v>46233</v>
      </c>
      <c r="F82" t="inlineStr">
        <is>
          <t>SKÅNE LÄN</t>
        </is>
      </c>
      <c r="G82" t="inlineStr">
        <is>
          <t>TOMELILLA</t>
        </is>
      </c>
      <c r="H82" t="inlineStr">
        <is>
          <t>Övriga Aktiebolag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6852-2026</t>
        </is>
      </c>
      <c r="B83" t="inlineStr">
        <is>
          <t>avverkningsanmälan</t>
        </is>
      </c>
      <c r="C83" t="inlineStr">
        <is>
          <t>Föryngringsavverkning</t>
        </is>
      </c>
      <c r="D83" s="1" t="n">
        <v>46057</v>
      </c>
      <c r="E83" s="1" t="n">
        <v>46233</v>
      </c>
      <c r="F83" t="inlineStr">
        <is>
          <t>SKÅNE LÄN</t>
        </is>
      </c>
      <c r="G83" t="inlineStr">
        <is>
          <t>TOMELILLA</t>
        </is>
      </c>
      <c r="H83" t="inlineStr">
        <is>
          <t>Övriga Aktiebolag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46233</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11894-2024</t>
        </is>
      </c>
      <c r="B85" t="inlineStr">
        <is>
          <t>avverkningsanmälan</t>
        </is>
      </c>
      <c r="C85" t="inlineStr">
        <is>
          <t>Föryngringsavverkning</t>
        </is>
      </c>
      <c r="D85" s="1" t="n">
        <v>45376</v>
      </c>
      <c r="E85" s="1" t="n">
        <v>46233</v>
      </c>
      <c r="F85" t="inlineStr">
        <is>
          <t>SKÅNE LÄN</t>
        </is>
      </c>
      <c r="G85" t="inlineStr">
        <is>
          <t>TOMELILLA</t>
        </is>
      </c>
      <c r="H85" t="inlineStr">
        <is>
          <t>Övriga Aktiebolag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16483-2024</t>
        </is>
      </c>
      <c r="B86" t="inlineStr">
        <is>
          <t>avverkningsanmälan</t>
        </is>
      </c>
      <c r="C86" t="inlineStr">
        <is>
          <t>Föryngringsavverkning</t>
        </is>
      </c>
      <c r="D86" s="1" t="n">
        <v>45408</v>
      </c>
      <c r="E86" s="1" t="n">
        <v>46233</v>
      </c>
      <c r="F86" t="inlineStr">
        <is>
          <t>SKÅNE LÄN</t>
        </is>
      </c>
      <c r="G86" t="inlineStr">
        <is>
          <t>TOMELILLA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21291-2026</t>
        </is>
      </c>
      <c r="B87" t="inlineStr">
        <is>
          <t>avverkningsanmälan</t>
        </is>
      </c>
      <c r="C87" t="inlineStr">
        <is>
          <t>Föryngringsavverkning</t>
        </is>
      </c>
      <c r="D87" s="1" t="n">
        <v>46147</v>
      </c>
      <c r="E87" s="1" t="n">
        <v>46233</v>
      </c>
      <c r="F87" t="inlineStr">
        <is>
          <t>SKÅNE LÄN</t>
        </is>
      </c>
      <c r="G87" t="inlineStr">
        <is>
          <t>TOMELILLA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21293-2026</t>
        </is>
      </c>
      <c r="B88" t="inlineStr">
        <is>
          <t>avverkningsanmälan</t>
        </is>
      </c>
      <c r="C88" t="inlineStr">
        <is>
          <t>Föryngringsavverkning</t>
        </is>
      </c>
      <c r="D88" s="1" t="n">
        <v>46147</v>
      </c>
      <c r="E88" s="1" t="n">
        <v>46233</v>
      </c>
      <c r="F88" t="inlineStr">
        <is>
          <t>SKÅNE LÄN</t>
        </is>
      </c>
      <c r="G88" t="inlineStr">
        <is>
          <t>TOMELILLA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38562-2023</t>
        </is>
      </c>
      <c r="B89" t="inlineStr">
        <is>
          <t>avverkningsanmälan</t>
        </is>
      </c>
      <c r="C89" t="inlineStr">
        <is>
          <t>Föryngringsavverkning</t>
        </is>
      </c>
      <c r="D89" s="1" t="n">
        <v>45162</v>
      </c>
      <c r="E89" s="1" t="n">
        <v>46233</v>
      </c>
      <c r="F89" t="inlineStr">
        <is>
          <t>SKÅNE LÄN</t>
        </is>
      </c>
      <c r="G89" t="inlineStr">
        <is>
          <t>TOMELILLA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51031-2023</t>
        </is>
      </c>
      <c r="B90" t="inlineStr">
        <is>
          <t>avverkningsanmälan</t>
        </is>
      </c>
      <c r="C90" t="inlineStr">
        <is>
          <t>Föryngringsavverkning</t>
        </is>
      </c>
      <c r="D90" s="1" t="n">
        <v>45211</v>
      </c>
      <c r="E90" s="1" t="n">
        <v>46233</v>
      </c>
      <c r="F90" t="inlineStr">
        <is>
          <t>SKÅNE LÄN</t>
        </is>
      </c>
      <c r="G90" t="inlineStr">
        <is>
          <t>TOMELILLA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59528-2022</t>
        </is>
      </c>
      <c r="B91" t="inlineStr">
        <is>
          <t>avverkningsanmälan</t>
        </is>
      </c>
      <c r="C91" t="inlineStr">
        <is>
          <t>Föryngringsavverkning</t>
        </is>
      </c>
      <c r="D91" s="1" t="n">
        <v>44907</v>
      </c>
      <c r="E91" s="1" t="n">
        <v>46233</v>
      </c>
      <c r="F91" t="inlineStr">
        <is>
          <t>SKÅNE LÄN</t>
        </is>
      </c>
      <c r="G91" t="inlineStr">
        <is>
          <t>TOMELILLA</t>
        </is>
      </c>
      <c r="H91" t="inlineStr">
        <is>
          <t>Övriga Aktiebolag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16027-2022</t>
        </is>
      </c>
      <c r="B92" t="inlineStr">
        <is>
          <t>avverkningsanmälan</t>
        </is>
      </c>
      <c r="C92" t="inlineStr">
        <is>
          <t>Föryngringsavverkning</t>
        </is>
      </c>
      <c r="D92" s="1" t="n">
        <v>44665</v>
      </c>
      <c r="E92" s="1" t="n">
        <v>46233</v>
      </c>
      <c r="F92" t="inlineStr">
        <is>
          <t>SKÅNE LÄN</t>
        </is>
      </c>
      <c r="G92" t="inlineStr">
        <is>
          <t>TOMELILLA</t>
        </is>
      </c>
      <c r="H92" t="inlineStr">
        <is>
          <t>Övriga Aktiebolag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15288-2026</t>
        </is>
      </c>
      <c r="B93" t="inlineStr">
        <is>
          <t>avverkningsanmälan</t>
        </is>
      </c>
      <c r="C93" t="inlineStr">
        <is>
          <t>Föryngringsavverkning</t>
        </is>
      </c>
      <c r="D93" s="1" t="n">
        <v>46105</v>
      </c>
      <c r="E93" s="1" t="n">
        <v>46233</v>
      </c>
      <c r="F93" t="inlineStr">
        <is>
          <t>SKÅNE LÄN</t>
        </is>
      </c>
      <c r="G93" t="inlineStr">
        <is>
          <t>TOMELILLA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6259-2024</t>
        </is>
      </c>
      <c r="B94" t="inlineStr">
        <is>
          <t>avverkningsanmälan</t>
        </is>
      </c>
      <c r="C94" t="inlineStr">
        <is>
          <t>Föryngringsavverkning</t>
        </is>
      </c>
      <c r="D94" s="1" t="n">
        <v>45337</v>
      </c>
      <c r="E94" s="1" t="n">
        <v>46233</v>
      </c>
      <c r="F94" t="inlineStr">
        <is>
          <t>SKÅNE LÄN</t>
        </is>
      </c>
      <c r="G94" t="inlineStr">
        <is>
          <t>TOMELILLA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39796-2025</t>
        </is>
      </c>
      <c r="B95" t="inlineStr">
        <is>
          <t>avverkningsanmälan</t>
        </is>
      </c>
      <c r="C95" t="inlineStr">
        <is>
          <t>Föryngringsavverkning</t>
        </is>
      </c>
      <c r="D95" s="1" t="n">
        <v>45891</v>
      </c>
      <c r="E95" s="1" t="n">
        <v>46233</v>
      </c>
      <c r="F95" t="inlineStr">
        <is>
          <t>SKÅNE LÄN</t>
        </is>
      </c>
      <c r="G95" t="inlineStr">
        <is>
          <t>TOMELILLA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1199-2024</t>
        </is>
      </c>
      <c r="B96" t="inlineStr">
        <is>
          <t>avverkningsanmälan</t>
        </is>
      </c>
      <c r="C96" t="inlineStr">
        <is>
          <t>Föryngringsavverkning</t>
        </is>
      </c>
      <c r="D96" s="1" t="n">
        <v>45302</v>
      </c>
      <c r="E96" s="1" t="n">
        <v>46233</v>
      </c>
      <c r="F96" t="inlineStr">
        <is>
          <t>SKÅNE LÄN</t>
        </is>
      </c>
      <c r="G96" t="inlineStr">
        <is>
          <t>TOMELILLA</t>
        </is>
      </c>
      <c r="H96" t="inlineStr">
        <is>
          <t>Övriga Aktiebolag</t>
        </is>
      </c>
      <c r="I96" t="n">
        <v>16.1</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46233</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46233</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8190-2024</t>
        </is>
      </c>
      <c r="B99" t="inlineStr">
        <is>
          <t>avverkningsanmälan</t>
        </is>
      </c>
      <c r="C99" t="inlineStr">
        <is>
          <t>Föryngringsavverkning</t>
        </is>
      </c>
      <c r="D99" s="1" t="n">
        <v>45338</v>
      </c>
      <c r="E99" s="1" t="n">
        <v>46233</v>
      </c>
      <c r="F99" t="inlineStr">
        <is>
          <t>SKÅNE LÄN</t>
        </is>
      </c>
      <c r="G99" t="inlineStr">
        <is>
          <t>TOMELILLA</t>
        </is>
      </c>
      <c r="H99" t="inlineStr">
        <is>
          <t>Kyrkan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8192-2024</t>
        </is>
      </c>
      <c r="B100" t="inlineStr">
        <is>
          <t>avverkningsanmälan</t>
        </is>
      </c>
      <c r="C100" t="inlineStr">
        <is>
          <t>Föryngringsavverkning</t>
        </is>
      </c>
      <c r="D100" s="1" t="n">
        <v>45338</v>
      </c>
      <c r="E100" s="1" t="n">
        <v>46233</v>
      </c>
      <c r="F100" t="inlineStr">
        <is>
          <t>SKÅNE LÄN</t>
        </is>
      </c>
      <c r="G100" t="inlineStr">
        <is>
          <t>TOMELILLA</t>
        </is>
      </c>
      <c r="H100" t="inlineStr">
        <is>
          <t>Kyrkan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10908-2026</t>
        </is>
      </c>
      <c r="B101" t="inlineStr">
        <is>
          <t>avverkningsanmälan</t>
        </is>
      </c>
      <c r="C101" t="inlineStr">
        <is>
          <t>Föryngringsavverkning</t>
        </is>
      </c>
      <c r="D101" s="1" t="n">
        <v>46079</v>
      </c>
      <c r="E101" s="1" t="n">
        <v>46233</v>
      </c>
      <c r="F101" t="inlineStr">
        <is>
          <t>SKÅNE LÄN</t>
        </is>
      </c>
      <c r="G101" t="inlineStr">
        <is>
          <t>TOMELILLA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17151-2024</t>
        </is>
      </c>
      <c r="B102" t="inlineStr">
        <is>
          <t>avverkningsanmälan</t>
        </is>
      </c>
      <c r="C102" t="inlineStr">
        <is>
          <t>Föryngringsavverkning</t>
        </is>
      </c>
      <c r="D102" s="1" t="n">
        <v>45412</v>
      </c>
      <c r="E102" s="1" t="n">
        <v>46233</v>
      </c>
      <c r="F102" t="inlineStr">
        <is>
          <t>SKÅNE LÄN</t>
        </is>
      </c>
      <c r="G102" t="inlineStr">
        <is>
          <t>TOMELILLA</t>
        </is>
      </c>
      <c r="H102" t="inlineStr">
        <is>
          <t>Övriga Aktiebolag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12181-2023</t>
        </is>
      </c>
      <c r="B103" t="inlineStr">
        <is>
          <t>avverkningsanmälan</t>
        </is>
      </c>
      <c r="C103" t="inlineStr">
        <is>
          <t>Föryngringsavverkning</t>
        </is>
      </c>
      <c r="D103" s="1" t="n">
        <v>44998</v>
      </c>
      <c r="E103" s="1" t="n">
        <v>46233</v>
      </c>
      <c r="F103" t="inlineStr">
        <is>
          <t>SKÅNE LÄN</t>
        </is>
      </c>
      <c r="G103" t="inlineStr">
        <is>
          <t>TOMELILLA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23310-2022</t>
        </is>
      </c>
      <c r="B104" t="inlineStr">
        <is>
          <t>avverkningsanmälan</t>
        </is>
      </c>
      <c r="C104" t="inlineStr">
        <is>
          <t>Föryngringsavverkning</t>
        </is>
      </c>
      <c r="D104" s="1" t="n">
        <v>44720</v>
      </c>
      <c r="E104" s="1" t="n">
        <v>46233</v>
      </c>
      <c r="F104" t="inlineStr">
        <is>
          <t>SKÅNE LÄN</t>
        </is>
      </c>
      <c r="G104" t="inlineStr">
        <is>
          <t>TOMELILLA</t>
        </is>
      </c>
      <c r="H104" t="inlineStr">
        <is>
          <t>Övriga Aktiebolag</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31134-2026</t>
        </is>
      </c>
      <c r="B105" t="inlineStr">
        <is>
          <t>avverkningsanmälan</t>
        </is>
      </c>
      <c r="C105" t="inlineStr">
        <is>
          <t>Föryngringsavverkning</t>
        </is>
      </c>
      <c r="D105" s="1" t="n">
        <v>46216</v>
      </c>
      <c r="E105" s="1" t="n">
        <v>46233</v>
      </c>
      <c r="F105" t="inlineStr">
        <is>
          <t>SKÅNE LÄN</t>
        </is>
      </c>
      <c r="G105" t="inlineStr">
        <is>
          <t>TOMELILLA</t>
        </is>
      </c>
      <c r="H105" t="inlineStr">
        <is>
          <t>Övriga Aktiebolag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16611-2026</t>
        </is>
      </c>
      <c r="B106" t="inlineStr">
        <is>
          <t>avverkningsanmälan</t>
        </is>
      </c>
      <c r="C106" t="inlineStr">
        <is>
          <t>Föryngringsavverkning</t>
        </is>
      </c>
      <c r="D106" s="1" t="n">
        <v>46112</v>
      </c>
      <c r="E106" s="1" t="n">
        <v>46233</v>
      </c>
      <c r="F106" t="inlineStr">
        <is>
          <t>SKÅNE LÄN</t>
        </is>
      </c>
      <c r="G106" t="inlineStr">
        <is>
          <t>TOMELILLA</t>
        </is>
      </c>
      <c r="H106" t="inlineStr">
        <is>
          <t>Kommuner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5027-2024</t>
        </is>
      </c>
      <c r="B107" t="inlineStr">
        <is>
          <t>avverkningsanmälan</t>
        </is>
      </c>
      <c r="C107" t="inlineStr">
        <is>
          <t>Föryngringsavverkning</t>
        </is>
      </c>
      <c r="D107" s="1" t="n">
        <v>45329</v>
      </c>
      <c r="E107" s="1" t="n">
        <v>46233</v>
      </c>
      <c r="F107" t="inlineStr">
        <is>
          <t>SKÅNE LÄN</t>
        </is>
      </c>
      <c r="G107" t="inlineStr">
        <is>
          <t>TOMELILLA</t>
        </is>
      </c>
      <c r="H107" t="inlineStr">
        <is>
          <t>Övriga Aktiebolag</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743-2024</t>
        </is>
      </c>
      <c r="B108" t="inlineStr">
        <is>
          <t>avverkningsanmälan</t>
        </is>
      </c>
      <c r="C108" t="inlineStr">
        <is>
          <t>Föryngringsavverkning</t>
        </is>
      </c>
      <c r="D108" s="1" t="n">
        <v>45300</v>
      </c>
      <c r="E108" s="1" t="n">
        <v>46233</v>
      </c>
      <c r="F108" t="inlineStr">
        <is>
          <t>SKÅNE LÄN</t>
        </is>
      </c>
      <c r="G108" t="inlineStr">
        <is>
          <t>TOMELILLA</t>
        </is>
      </c>
      <c r="H108" t="inlineStr">
        <is>
          <t>Övriga Aktiebolag</t>
        </is>
      </c>
      <c r="I108" t="n">
        <v>11.1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53977-2022</t>
        </is>
      </c>
      <c r="B109" t="inlineStr">
        <is>
          <t>avverkningsanmälan</t>
        </is>
      </c>
      <c r="C109" t="inlineStr">
        <is>
          <t>Föryngringsavverkning</t>
        </is>
      </c>
      <c r="D109" s="1" t="n">
        <v>44876</v>
      </c>
      <c r="E109" s="1" t="n">
        <v>46233</v>
      </c>
      <c r="F109" t="inlineStr">
        <is>
          <t>SKÅNE LÄN</t>
        </is>
      </c>
      <c r="G109" t="inlineStr">
        <is>
          <t>TOMELILLA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24002-2026</t>
        </is>
      </c>
      <c r="B110" t="inlineStr">
        <is>
          <t>avverkningsanmälan</t>
        </is>
      </c>
      <c r="C110" t="inlineStr">
        <is>
          <t>Avverkning för annat ändamål</t>
        </is>
      </c>
      <c r="D110" s="1" t="n">
        <v>46167</v>
      </c>
      <c r="E110" s="1" t="n">
        <v>46233</v>
      </c>
      <c r="F110" t="inlineStr">
        <is>
          <t>SKÅNE LÄN</t>
        </is>
      </c>
      <c r="G110" t="inlineStr">
        <is>
          <t>TOMELILLA</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46233</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19500-2024</t>
        </is>
      </c>
      <c r="B112" t="inlineStr">
        <is>
          <t>avverkningsanmälan</t>
        </is>
      </c>
      <c r="C112" t="inlineStr">
        <is>
          <t>Föryngringsavverkning</t>
        </is>
      </c>
      <c r="D112" s="1" t="n">
        <v>45429</v>
      </c>
      <c r="E112" s="1" t="n">
        <v>46233</v>
      </c>
      <c r="F112" t="inlineStr">
        <is>
          <t>SKÅNE LÄN</t>
        </is>
      </c>
      <c r="G112" t="inlineStr">
        <is>
          <t>TOMELILLA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15296-2026</t>
        </is>
      </c>
      <c r="B113" t="inlineStr">
        <is>
          <t>avverkningsanmälan</t>
        </is>
      </c>
      <c r="C113" t="inlineStr">
        <is>
          <t>Föryngringsavverkning</t>
        </is>
      </c>
      <c r="D113" s="1" t="n">
        <v>46105</v>
      </c>
      <c r="E113" s="1" t="n">
        <v>46233</v>
      </c>
      <c r="F113" t="inlineStr">
        <is>
          <t>SKÅNE LÄN</t>
        </is>
      </c>
      <c r="G113" t="inlineStr">
        <is>
          <t>TOMELILLA</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4188-2024</t>
        </is>
      </c>
      <c r="B114" t="inlineStr">
        <is>
          <t>avverkningsanmälan</t>
        </is>
      </c>
      <c r="C114" t="inlineStr">
        <is>
          <t>Föryngringsavverkning</t>
        </is>
      </c>
      <c r="D114" s="1" t="n">
        <v>45324</v>
      </c>
      <c r="E114" s="1" t="n">
        <v>46233</v>
      </c>
      <c r="F114" t="inlineStr">
        <is>
          <t>SKÅNE LÄN</t>
        </is>
      </c>
      <c r="G114" t="inlineStr">
        <is>
          <t>TOMELILLA</t>
        </is>
      </c>
      <c r="H114" t="inlineStr">
        <is>
          <t>Övriga Aktiebolag</t>
        </is>
      </c>
      <c r="I114" t="n">
        <v>9.6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12663-2022</t>
        </is>
      </c>
      <c r="B115" t="inlineStr">
        <is>
          <t>avverkningsanmälan</t>
        </is>
      </c>
      <c r="C115" t="inlineStr">
        <is>
          <t>Föryngringsavverkning</t>
        </is>
      </c>
      <c r="D115" s="1" t="n">
        <v>44641</v>
      </c>
      <c r="E115" s="1" t="n">
        <v>46233</v>
      </c>
      <c r="F115" t="inlineStr">
        <is>
          <t>SKÅNE LÄN</t>
        </is>
      </c>
      <c r="G115" t="inlineStr">
        <is>
          <t>TOMELILLA</t>
        </is>
      </c>
      <c r="H115" t="inlineStr">
        <is>
          <t>Övriga Aktiebolag</t>
        </is>
      </c>
      <c r="I115" t="n">
        <v>12.4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23621-2026</t>
        </is>
      </c>
      <c r="B116" t="inlineStr">
        <is>
          <t>avverkningsanmälan</t>
        </is>
      </c>
      <c r="C116" t="inlineStr">
        <is>
          <t>Föryngringsavverkning</t>
        </is>
      </c>
      <c r="D116" s="1" t="n">
        <v>46162</v>
      </c>
      <c r="E116" s="1" t="n">
        <v>46233</v>
      </c>
      <c r="F116" t="inlineStr">
        <is>
          <t>SKÅNE LÄN</t>
        </is>
      </c>
      <c r="G116" t="inlineStr">
        <is>
          <t>TOMELILLA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25597-2026</t>
        </is>
      </c>
      <c r="B117" t="inlineStr">
        <is>
          <t>avverkningsanmälan</t>
        </is>
      </c>
      <c r="C117" t="inlineStr">
        <is>
          <t>Föryngringsavverkning</t>
        </is>
      </c>
      <c r="D117" s="1" t="n">
        <v>46177</v>
      </c>
      <c r="E117" s="1" t="n">
        <v>46233</v>
      </c>
      <c r="F117" t="inlineStr">
        <is>
          <t>SKÅNE LÄN</t>
        </is>
      </c>
      <c r="G117" t="inlineStr">
        <is>
          <t>TOMELILLA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25605-2026</t>
        </is>
      </c>
      <c r="B118" t="inlineStr">
        <is>
          <t>avverkningsanmälan</t>
        </is>
      </c>
      <c r="C118" t="inlineStr">
        <is>
          <t>Föryngringsavverkning</t>
        </is>
      </c>
      <c r="D118" s="1" t="n">
        <v>46177</v>
      </c>
      <c r="E118" s="1" t="n">
        <v>46233</v>
      </c>
      <c r="F118" t="inlineStr">
        <is>
          <t>SKÅNE LÄN</t>
        </is>
      </c>
      <c r="G118" t="inlineStr">
        <is>
          <t>TOMELILLA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36180-2024</t>
        </is>
      </c>
      <c r="B119" t="inlineStr">
        <is>
          <t>avverkningsanmälan</t>
        </is>
      </c>
      <c r="C119" t="inlineStr">
        <is>
          <t>Föryngringsavverkning</t>
        </is>
      </c>
      <c r="D119" s="1" t="n">
        <v>45534</v>
      </c>
      <c r="E119" s="1" t="n">
        <v>46233</v>
      </c>
      <c r="F119" t="inlineStr">
        <is>
          <t>SKÅNE LÄN</t>
        </is>
      </c>
      <c r="G119" t="inlineStr">
        <is>
          <t>TOMELILLA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12903-2024</t>
        </is>
      </c>
      <c r="B120" t="inlineStr">
        <is>
          <t>avverkningsanmälan</t>
        </is>
      </c>
      <c r="C120" t="inlineStr">
        <is>
          <t>Föryngringsavverkning</t>
        </is>
      </c>
      <c r="D120" s="1" t="n">
        <v>45385</v>
      </c>
      <c r="E120" s="1" t="n">
        <v>46233</v>
      </c>
      <c r="F120" t="inlineStr">
        <is>
          <t>SKÅNE LÄN</t>
        </is>
      </c>
      <c r="G120" t="inlineStr">
        <is>
          <t>TOMELILLA</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15075-2024</t>
        </is>
      </c>
      <c r="B121" t="inlineStr">
        <is>
          <t>avverkningsanmälan</t>
        </is>
      </c>
      <c r="C121" t="inlineStr">
        <is>
          <t>Avverkning för annat ändamål</t>
        </is>
      </c>
      <c r="D121" s="1" t="n">
        <v>45399</v>
      </c>
      <c r="E121" s="1" t="n">
        <v>46233</v>
      </c>
      <c r="F121" t="inlineStr">
        <is>
          <t>SKÅNE LÄN</t>
        </is>
      </c>
      <c r="G121" t="inlineStr">
        <is>
          <t>TOMELILLA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11887-2024</t>
        </is>
      </c>
      <c r="B122" t="inlineStr">
        <is>
          <t>avverkningsanmälan</t>
        </is>
      </c>
      <c r="C122" t="inlineStr">
        <is>
          <t>Föryngringsavverkning</t>
        </is>
      </c>
      <c r="D122" s="1" t="n">
        <v>45376</v>
      </c>
      <c r="E122" s="1" t="n">
        <v>46233</v>
      </c>
      <c r="F122" t="inlineStr">
        <is>
          <t>SKÅNE LÄN</t>
        </is>
      </c>
      <c r="G122" t="inlineStr">
        <is>
          <t>TOMELILLA</t>
        </is>
      </c>
      <c r="H122" t="inlineStr">
        <is>
          <t>Övriga Aktiebolag</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5565-2024</t>
        </is>
      </c>
      <c r="B123" t="inlineStr">
        <is>
          <t>avverkningsanmälan</t>
        </is>
      </c>
      <c r="C123" t="inlineStr">
        <is>
          <t>Föryngringsavverkning</t>
        </is>
      </c>
      <c r="D123" s="1" t="n">
        <v>45334</v>
      </c>
      <c r="E123" s="1" t="n">
        <v>46233</v>
      </c>
      <c r="F123" t="inlineStr">
        <is>
          <t>SKÅNE LÄN</t>
        </is>
      </c>
      <c r="G123" t="inlineStr">
        <is>
          <t>TOMELILLA</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35742-2024</t>
        </is>
      </c>
      <c r="B124" t="inlineStr">
        <is>
          <t>avverkningsanmälan</t>
        </is>
      </c>
      <c r="C124" t="inlineStr">
        <is>
          <t>Föryngringsavverkning</t>
        </is>
      </c>
      <c r="D124" s="1" t="n">
        <v>45532</v>
      </c>
      <c r="E124" s="1" t="n">
        <v>46233</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35715-2024</t>
        </is>
      </c>
      <c r="B125" t="inlineStr">
        <is>
          <t>avverkningsanmälan</t>
        </is>
      </c>
      <c r="C125" t="inlineStr">
        <is>
          <t>Föryngringsavverkning</t>
        </is>
      </c>
      <c r="D125" s="1" t="n">
        <v>45532</v>
      </c>
      <c r="E125" s="1" t="n">
        <v>46233</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11806-2025</t>
        </is>
      </c>
      <c r="B126" t="inlineStr">
        <is>
          <t>avverkningsanmälan</t>
        </is>
      </c>
      <c r="C126" t="inlineStr">
        <is>
          <t>Föryngringsavverkning</t>
        </is>
      </c>
      <c r="D126" s="1" t="n">
        <v>45727</v>
      </c>
      <c r="E126" s="1" t="n">
        <v>46233</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11810-2025</t>
        </is>
      </c>
      <c r="B127" t="inlineStr">
        <is>
          <t>avverkningsanmälan</t>
        </is>
      </c>
      <c r="C127" t="inlineStr">
        <is>
          <t>Föryngringsavverkning</t>
        </is>
      </c>
      <c r="D127" s="1" t="n">
        <v>45727</v>
      </c>
      <c r="E127" s="1" t="n">
        <v>46233</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23185-2025</t>
        </is>
      </c>
      <c r="B128" t="inlineStr">
        <is>
          <t>avverkningsanmälan</t>
        </is>
      </c>
      <c r="C128" t="inlineStr">
        <is>
          <t>Avverkning för att bevara och utveckla /försöksver</t>
        </is>
      </c>
      <c r="D128" s="1" t="n">
        <v>45791</v>
      </c>
      <c r="E128" s="1" t="n">
        <v>46233</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17760-2025</t>
        </is>
      </c>
      <c r="B129" t="inlineStr">
        <is>
          <t>avverkningsanmälan</t>
        </is>
      </c>
      <c r="C129" t="inlineStr">
        <is>
          <t>Föryngringsavverkning</t>
        </is>
      </c>
      <c r="D129" s="1" t="n">
        <v>45758</v>
      </c>
      <c r="E129" s="1" t="n">
        <v>46233</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38787-2024</t>
        </is>
      </c>
      <c r="B130" t="inlineStr">
        <is>
          <t>avverkningsanmälan</t>
        </is>
      </c>
      <c r="C130" t="inlineStr">
        <is>
          <t>Föryngringsavverkning</t>
        </is>
      </c>
      <c r="D130" s="1" t="n">
        <v>45547</v>
      </c>
      <c r="E130" s="1" t="n">
        <v>46233</v>
      </c>
      <c r="F130" t="inlineStr">
        <is>
          <t>SKÅNE LÄN</t>
        </is>
      </c>
      <c r="G130" t="inlineStr">
        <is>
          <t>TOMELILLA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46233</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46233</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2026-07-30T01:49:12Z</dcterms:created>
  <dcterms:modified xmlns:dcterms="http://purl.org/dc/terms/" xmlns:xsi="http://www.w3.org/2001/XMLSchema-instance" xsi:type="dcterms:W3CDTF">2026-07-30T01:49:12Z</dcterms:modified>
</cp:coreProperties>
</file>