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45914</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45914</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45914</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45914</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45914</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60809-2023</t>
        </is>
      </c>
      <c r="B8" s="1" t="n">
        <v>45260</v>
      </c>
      <c r="C8" s="1" t="n">
        <v>45914</v>
      </c>
      <c r="D8" t="inlineStr">
        <is>
          <t>SKÅNE LÄN</t>
        </is>
      </c>
      <c r="E8" t="inlineStr">
        <is>
          <t>TOMELILLA</t>
        </is>
      </c>
      <c r="G8" t="n">
        <v>3.6</v>
      </c>
      <c r="H8" t="n">
        <v>0</v>
      </c>
      <c r="I8" t="n">
        <v>1</v>
      </c>
      <c r="J8" t="n">
        <v>0</v>
      </c>
      <c r="K8" t="n">
        <v>0</v>
      </c>
      <c r="L8" t="n">
        <v>0</v>
      </c>
      <c r="M8" t="n">
        <v>0</v>
      </c>
      <c r="N8" t="n">
        <v>0</v>
      </c>
      <c r="O8" t="n">
        <v>0</v>
      </c>
      <c r="P8" t="n">
        <v>0</v>
      </c>
      <c r="Q8" t="n">
        <v>1</v>
      </c>
      <c r="R8" s="2" t="inlineStr">
        <is>
          <t>Grovticka</t>
        </is>
      </c>
      <c r="S8">
        <f>HYPERLINK("https://klasma.github.io/Logging_1270/artfynd/A 60809-2023 artfynd.xlsx", "A 60809-2023")</f>
        <v/>
      </c>
      <c r="T8">
        <f>HYPERLINK("https://klasma.github.io/Logging_1270/kartor/A 60809-2023 karta.png", "A 60809-2023")</f>
        <v/>
      </c>
      <c r="V8">
        <f>HYPERLINK("https://klasma.github.io/Logging_1270/klagomål/A 60809-2023 FSC-klagomål.docx", "A 60809-2023")</f>
        <v/>
      </c>
      <c r="W8">
        <f>HYPERLINK("https://klasma.github.io/Logging_1270/klagomålsmail/A 60809-2023 FSC-klagomål mail.docx", "A 60809-2023")</f>
        <v/>
      </c>
      <c r="X8">
        <f>HYPERLINK("https://klasma.github.io/Logging_1270/tillsyn/A 60809-2023 tillsynsbegäran.docx", "A 60809-2023")</f>
        <v/>
      </c>
      <c r="Y8">
        <f>HYPERLINK("https://klasma.github.io/Logging_1270/tillsynsmail/A 60809-2023 tillsynsbegäran mail.docx", "A 60809-2023")</f>
        <v/>
      </c>
    </row>
    <row r="9" ht="15" customHeight="1">
      <c r="A9" t="inlineStr">
        <is>
          <t>A 756-2024</t>
        </is>
      </c>
      <c r="B9" s="1" t="n">
        <v>45300</v>
      </c>
      <c r="C9" s="1" t="n">
        <v>45914</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45914</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45914</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45914</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45914</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45914</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45914</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45914</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45914</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45914</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45914</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45914</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45914</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45914</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45914</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45914</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45914</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45914</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45914</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45914</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45914</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45914</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45914</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56462-2020</t>
        </is>
      </c>
      <c r="B32" s="1" t="n">
        <v>44133</v>
      </c>
      <c r="C32" s="1" t="n">
        <v>45914</v>
      </c>
      <c r="D32" t="inlineStr">
        <is>
          <t>SKÅNE LÄN</t>
        </is>
      </c>
      <c r="E32" t="inlineStr">
        <is>
          <t>TOMELILLA</t>
        </is>
      </c>
      <c r="G32" t="n">
        <v>1.8</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45914</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45914</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45914</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4677-2023</t>
        </is>
      </c>
      <c r="B36" s="1" t="n">
        <v>44952</v>
      </c>
      <c r="C36" s="1" t="n">
        <v>45914</v>
      </c>
      <c r="D36" t="inlineStr">
        <is>
          <t>SKÅNE LÄN</t>
        </is>
      </c>
      <c r="E36" t="inlineStr">
        <is>
          <t>TOMELILLA</t>
        </is>
      </c>
      <c r="G36" t="n">
        <v>0.6</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45914</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35742-2024</t>
        </is>
      </c>
      <c r="B38" s="1" t="n">
        <v>45532</v>
      </c>
      <c r="C38" s="1" t="n">
        <v>45914</v>
      </c>
      <c r="D38" t="inlineStr">
        <is>
          <t>SKÅNE LÄN</t>
        </is>
      </c>
      <c r="E38" t="inlineStr">
        <is>
          <t>TOMELILLA</t>
        </is>
      </c>
      <c r="G38" t="n">
        <v>1</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45914</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45914</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45914</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35715-2024</t>
        </is>
      </c>
      <c r="B42" s="1" t="n">
        <v>45532</v>
      </c>
      <c r="C42" s="1" t="n">
        <v>45914</v>
      </c>
      <c r="D42" t="inlineStr">
        <is>
          <t>SKÅNE LÄN</t>
        </is>
      </c>
      <c r="E42" t="inlineStr">
        <is>
          <t>TOMELILLA</t>
        </is>
      </c>
      <c r="G42" t="n">
        <v>1.2</v>
      </c>
      <c r="H42" t="n">
        <v>0</v>
      </c>
      <c r="I42" t="n">
        <v>0</v>
      </c>
      <c r="J42" t="n">
        <v>0</v>
      </c>
      <c r="K42" t="n">
        <v>0</v>
      </c>
      <c r="L42" t="n">
        <v>0</v>
      </c>
      <c r="M42" t="n">
        <v>0</v>
      </c>
      <c r="N42" t="n">
        <v>0</v>
      </c>
      <c r="O42" t="n">
        <v>0</v>
      </c>
      <c r="P42" t="n">
        <v>0</v>
      </c>
      <c r="Q42" t="n">
        <v>0</v>
      </c>
      <c r="R42" s="2" t="inlineStr"/>
    </row>
    <row r="43" ht="15" customHeight="1">
      <c r="A43" t="inlineStr">
        <is>
          <t>A 24934-2024</t>
        </is>
      </c>
      <c r="B43" s="1" t="n">
        <v>45461.61667824074</v>
      </c>
      <c r="C43" s="1" t="n">
        <v>45914</v>
      </c>
      <c r="D43" t="inlineStr">
        <is>
          <t>SKÅNE LÄN</t>
        </is>
      </c>
      <c r="E43" t="inlineStr">
        <is>
          <t>TOMELILLA</t>
        </is>
      </c>
      <c r="F43" t="inlineStr">
        <is>
          <t>Sveaskog</t>
        </is>
      </c>
      <c r="G43" t="n">
        <v>0.3</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45914</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17907-2024</t>
        </is>
      </c>
      <c r="B45" s="1" t="n">
        <v>45419.50770833333</v>
      </c>
      <c r="C45" s="1" t="n">
        <v>45914</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11806-2025</t>
        </is>
      </c>
      <c r="B46" s="1" t="n">
        <v>45727.88857638889</v>
      </c>
      <c r="C46" s="1" t="n">
        <v>45914</v>
      </c>
      <c r="D46" t="inlineStr">
        <is>
          <t>SKÅNE LÄN</t>
        </is>
      </c>
      <c r="E46" t="inlineStr">
        <is>
          <t>TOMELILLA</t>
        </is>
      </c>
      <c r="G46" t="n">
        <v>3.1</v>
      </c>
      <c r="H46" t="n">
        <v>0</v>
      </c>
      <c r="I46" t="n">
        <v>0</v>
      </c>
      <c r="J46" t="n">
        <v>0</v>
      </c>
      <c r="K46" t="n">
        <v>0</v>
      </c>
      <c r="L46" t="n">
        <v>0</v>
      </c>
      <c r="M46" t="n">
        <v>0</v>
      </c>
      <c r="N46" t="n">
        <v>0</v>
      </c>
      <c r="O46" t="n">
        <v>0</v>
      </c>
      <c r="P46" t="n">
        <v>0</v>
      </c>
      <c r="Q46" t="n">
        <v>0</v>
      </c>
      <c r="R46" s="2" t="inlineStr"/>
    </row>
    <row r="47" ht="15" customHeight="1">
      <c r="A47" t="inlineStr">
        <is>
          <t>A 11810-2025</t>
        </is>
      </c>
      <c r="B47" s="1" t="n">
        <v>45727.90560185185</v>
      </c>
      <c r="C47" s="1" t="n">
        <v>45914</v>
      </c>
      <c r="D47" t="inlineStr">
        <is>
          <t>SKÅNE LÄN</t>
        </is>
      </c>
      <c r="E47" t="inlineStr">
        <is>
          <t>TOMELILLA</t>
        </is>
      </c>
      <c r="G47" t="n">
        <v>2.9</v>
      </c>
      <c r="H47" t="n">
        <v>0</v>
      </c>
      <c r="I47" t="n">
        <v>0</v>
      </c>
      <c r="J47" t="n">
        <v>0</v>
      </c>
      <c r="K47" t="n">
        <v>0</v>
      </c>
      <c r="L47" t="n">
        <v>0</v>
      </c>
      <c r="M47" t="n">
        <v>0</v>
      </c>
      <c r="N47" t="n">
        <v>0</v>
      </c>
      <c r="O47" t="n">
        <v>0</v>
      </c>
      <c r="P47" t="n">
        <v>0</v>
      </c>
      <c r="Q47" t="n">
        <v>0</v>
      </c>
      <c r="R47" s="2" t="inlineStr"/>
    </row>
    <row r="48" ht="15" customHeight="1">
      <c r="A48" t="inlineStr">
        <is>
          <t>A 15012-2024</t>
        </is>
      </c>
      <c r="B48" s="1" t="n">
        <v>45399</v>
      </c>
      <c r="C48" s="1" t="n">
        <v>45914</v>
      </c>
      <c r="D48" t="inlineStr">
        <is>
          <t>SKÅNE LÄN</t>
        </is>
      </c>
      <c r="E48" t="inlineStr">
        <is>
          <t>TOMELILLA</t>
        </is>
      </c>
      <c r="G48" t="n">
        <v>6.9</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45914</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4651-2024</t>
        </is>
      </c>
      <c r="B50" s="1" t="n">
        <v>45328</v>
      </c>
      <c r="C50" s="1" t="n">
        <v>45914</v>
      </c>
      <c r="D50" t="inlineStr">
        <is>
          <t>SKÅNE LÄN</t>
        </is>
      </c>
      <c r="E50" t="inlineStr">
        <is>
          <t>TOMELILLA</t>
        </is>
      </c>
      <c r="G50" t="n">
        <v>0.9</v>
      </c>
      <c r="H50" t="n">
        <v>0</v>
      </c>
      <c r="I50" t="n">
        <v>0</v>
      </c>
      <c r="J50" t="n">
        <v>0</v>
      </c>
      <c r="K50" t="n">
        <v>0</v>
      </c>
      <c r="L50" t="n">
        <v>0</v>
      </c>
      <c r="M50" t="n">
        <v>0</v>
      </c>
      <c r="N50" t="n">
        <v>0</v>
      </c>
      <c r="O50" t="n">
        <v>0</v>
      </c>
      <c r="P50" t="n">
        <v>0</v>
      </c>
      <c r="Q50" t="n">
        <v>0</v>
      </c>
      <c r="R50" s="2" t="inlineStr"/>
    </row>
    <row r="51" ht="15" customHeight="1">
      <c r="A51" t="inlineStr">
        <is>
          <t>A 30040-2024</t>
        </is>
      </c>
      <c r="B51" s="1" t="n">
        <v>45488</v>
      </c>
      <c r="C51" s="1" t="n">
        <v>45914</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23185-2025</t>
        </is>
      </c>
      <c r="B52" s="1" t="n">
        <v>45791</v>
      </c>
      <c r="C52" s="1" t="n">
        <v>45914</v>
      </c>
      <c r="D52" t="inlineStr">
        <is>
          <t>SKÅNE LÄN</t>
        </is>
      </c>
      <c r="E52" t="inlineStr">
        <is>
          <t>TOMELILLA</t>
        </is>
      </c>
      <c r="G52" t="n">
        <v>0.8</v>
      </c>
      <c r="H52" t="n">
        <v>0</v>
      </c>
      <c r="I52" t="n">
        <v>0</v>
      </c>
      <c r="J52" t="n">
        <v>0</v>
      </c>
      <c r="K52" t="n">
        <v>0</v>
      </c>
      <c r="L52" t="n">
        <v>0</v>
      </c>
      <c r="M52" t="n">
        <v>0</v>
      </c>
      <c r="N52" t="n">
        <v>0</v>
      </c>
      <c r="O52" t="n">
        <v>0</v>
      </c>
      <c r="P52" t="n">
        <v>0</v>
      </c>
      <c r="Q52" t="n">
        <v>0</v>
      </c>
      <c r="R52" s="2" t="inlineStr"/>
    </row>
    <row r="53" ht="15" customHeight="1">
      <c r="A53" t="inlineStr">
        <is>
          <t>A 17760-2025</t>
        </is>
      </c>
      <c r="B53" s="1" t="n">
        <v>45758</v>
      </c>
      <c r="C53" s="1" t="n">
        <v>45914</v>
      </c>
      <c r="D53" t="inlineStr">
        <is>
          <t>SKÅNE LÄN</t>
        </is>
      </c>
      <c r="E53" t="inlineStr">
        <is>
          <t>TOMELILLA</t>
        </is>
      </c>
      <c r="G53" t="n">
        <v>3.7</v>
      </c>
      <c r="H53" t="n">
        <v>0</v>
      </c>
      <c r="I53" t="n">
        <v>0</v>
      </c>
      <c r="J53" t="n">
        <v>0</v>
      </c>
      <c r="K53" t="n">
        <v>0</v>
      </c>
      <c r="L53" t="n">
        <v>0</v>
      </c>
      <c r="M53" t="n">
        <v>0</v>
      </c>
      <c r="N53" t="n">
        <v>0</v>
      </c>
      <c r="O53" t="n">
        <v>0</v>
      </c>
      <c r="P53" t="n">
        <v>0</v>
      </c>
      <c r="Q53" t="n">
        <v>0</v>
      </c>
      <c r="R53" s="2" t="inlineStr"/>
    </row>
    <row r="54" ht="15" customHeight="1">
      <c r="A54" t="inlineStr">
        <is>
          <t>A 44675-2024</t>
        </is>
      </c>
      <c r="B54" s="1" t="n">
        <v>45574.53934027778</v>
      </c>
      <c r="C54" s="1" t="n">
        <v>45914</v>
      </c>
      <c r="D54" t="inlineStr">
        <is>
          <t>SKÅNE LÄN</t>
        </is>
      </c>
      <c r="E54" t="inlineStr">
        <is>
          <t>TOMELILLA</t>
        </is>
      </c>
      <c r="F54" t="inlineStr">
        <is>
          <t>Sveaskog</t>
        </is>
      </c>
      <c r="G54" t="n">
        <v>11.2</v>
      </c>
      <c r="H54" t="n">
        <v>0</v>
      </c>
      <c r="I54" t="n">
        <v>0</v>
      </c>
      <c r="J54" t="n">
        <v>0</v>
      </c>
      <c r="K54" t="n">
        <v>0</v>
      </c>
      <c r="L54" t="n">
        <v>0</v>
      </c>
      <c r="M54" t="n">
        <v>0</v>
      </c>
      <c r="N54" t="n">
        <v>0</v>
      </c>
      <c r="O54" t="n">
        <v>0</v>
      </c>
      <c r="P54" t="n">
        <v>0</v>
      </c>
      <c r="Q54" t="n">
        <v>0</v>
      </c>
      <c r="R54" s="2" t="inlineStr"/>
    </row>
    <row r="55" ht="15" customHeight="1">
      <c r="A55" t="inlineStr">
        <is>
          <t>A 52023-2020</t>
        </is>
      </c>
      <c r="B55" s="1" t="n">
        <v>44116</v>
      </c>
      <c r="C55" s="1" t="n">
        <v>45914</v>
      </c>
      <c r="D55" t="inlineStr">
        <is>
          <t>SKÅNE LÄN</t>
        </is>
      </c>
      <c r="E55" t="inlineStr">
        <is>
          <t>TOMELILLA</t>
        </is>
      </c>
      <c r="G55" t="n">
        <v>0.8</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45914</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6262-2024</t>
        </is>
      </c>
      <c r="B57" s="1" t="n">
        <v>45337</v>
      </c>
      <c r="C57" s="1" t="n">
        <v>45914</v>
      </c>
      <c r="D57" t="inlineStr">
        <is>
          <t>SKÅNE LÄN</t>
        </is>
      </c>
      <c r="E57" t="inlineStr">
        <is>
          <t>TOMELILLA</t>
        </is>
      </c>
      <c r="G57" t="n">
        <v>4.5</v>
      </c>
      <c r="H57" t="n">
        <v>0</v>
      </c>
      <c r="I57" t="n">
        <v>0</v>
      </c>
      <c r="J57" t="n">
        <v>0</v>
      </c>
      <c r="K57" t="n">
        <v>0</v>
      </c>
      <c r="L57" t="n">
        <v>0</v>
      </c>
      <c r="M57" t="n">
        <v>0</v>
      </c>
      <c r="N57" t="n">
        <v>0</v>
      </c>
      <c r="O57" t="n">
        <v>0</v>
      </c>
      <c r="P57" t="n">
        <v>0</v>
      </c>
      <c r="Q57" t="n">
        <v>0</v>
      </c>
      <c r="R57" s="2" t="inlineStr"/>
    </row>
    <row r="58" ht="15" customHeight="1">
      <c r="A58" t="inlineStr">
        <is>
          <t>A 17316-2024</t>
        </is>
      </c>
      <c r="B58" s="1" t="n">
        <v>45414</v>
      </c>
      <c r="C58" s="1" t="n">
        <v>45914</v>
      </c>
      <c r="D58" t="inlineStr">
        <is>
          <t>SKÅNE LÄN</t>
        </is>
      </c>
      <c r="E58" t="inlineStr">
        <is>
          <t>TOMELILLA</t>
        </is>
      </c>
      <c r="F58" t="inlineStr">
        <is>
          <t>Övriga Aktiebolag</t>
        </is>
      </c>
      <c r="G58" t="n">
        <v>4.3</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45914</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28862-2023</t>
        </is>
      </c>
      <c r="B60" s="1" t="n">
        <v>45104</v>
      </c>
      <c r="C60" s="1" t="n">
        <v>45914</v>
      </c>
      <c r="D60" t="inlineStr">
        <is>
          <t>SKÅNE LÄN</t>
        </is>
      </c>
      <c r="E60" t="inlineStr">
        <is>
          <t>TOMELILLA</t>
        </is>
      </c>
      <c r="F60" t="inlineStr">
        <is>
          <t>Övriga Aktiebolag</t>
        </is>
      </c>
      <c r="G60" t="n">
        <v>6.6</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45914</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45729-2024</t>
        </is>
      </c>
      <c r="B62" s="1" t="n">
        <v>45579</v>
      </c>
      <c r="C62" s="1" t="n">
        <v>45914</v>
      </c>
      <c r="D62" t="inlineStr">
        <is>
          <t>SKÅNE LÄN</t>
        </is>
      </c>
      <c r="E62" t="inlineStr">
        <is>
          <t>TOMELILLA</t>
        </is>
      </c>
      <c r="G62" t="n">
        <v>10.1</v>
      </c>
      <c r="H62" t="n">
        <v>0</v>
      </c>
      <c r="I62" t="n">
        <v>0</v>
      </c>
      <c r="J62" t="n">
        <v>0</v>
      </c>
      <c r="K62" t="n">
        <v>0</v>
      </c>
      <c r="L62" t="n">
        <v>0</v>
      </c>
      <c r="M62" t="n">
        <v>0</v>
      </c>
      <c r="N62" t="n">
        <v>0</v>
      </c>
      <c r="O62" t="n">
        <v>0</v>
      </c>
      <c r="P62" t="n">
        <v>0</v>
      </c>
      <c r="Q62" t="n">
        <v>0</v>
      </c>
      <c r="R62" s="2" t="inlineStr"/>
    </row>
    <row r="63" ht="15" customHeight="1">
      <c r="A63" t="inlineStr">
        <is>
          <t>A 31993-2023</t>
        </is>
      </c>
      <c r="B63" s="1" t="n">
        <v>45119</v>
      </c>
      <c r="C63" s="1" t="n">
        <v>45914</v>
      </c>
      <c r="D63" t="inlineStr">
        <is>
          <t>SKÅNE LÄN</t>
        </is>
      </c>
      <c r="E63" t="inlineStr">
        <is>
          <t>TOMELILLA</t>
        </is>
      </c>
      <c r="G63" t="n">
        <v>6.8</v>
      </c>
      <c r="H63" t="n">
        <v>0</v>
      </c>
      <c r="I63" t="n">
        <v>0</v>
      </c>
      <c r="J63" t="n">
        <v>0</v>
      </c>
      <c r="K63" t="n">
        <v>0</v>
      </c>
      <c r="L63" t="n">
        <v>0</v>
      </c>
      <c r="M63" t="n">
        <v>0</v>
      </c>
      <c r="N63" t="n">
        <v>0</v>
      </c>
      <c r="O63" t="n">
        <v>0</v>
      </c>
      <c r="P63" t="n">
        <v>0</v>
      </c>
      <c r="Q63" t="n">
        <v>0</v>
      </c>
      <c r="R63" s="2" t="inlineStr"/>
    </row>
    <row r="64" ht="15" customHeight="1">
      <c r="A64" t="inlineStr">
        <is>
          <t>A 11894-2024</t>
        </is>
      </c>
      <c r="B64" s="1" t="n">
        <v>45376</v>
      </c>
      <c r="C64" s="1" t="n">
        <v>45914</v>
      </c>
      <c r="D64" t="inlineStr">
        <is>
          <t>SKÅNE LÄN</t>
        </is>
      </c>
      <c r="E64" t="inlineStr">
        <is>
          <t>TOMELILLA</t>
        </is>
      </c>
      <c r="F64" t="inlineStr">
        <is>
          <t>Övriga Aktiebolag</t>
        </is>
      </c>
      <c r="G64" t="n">
        <v>4.4</v>
      </c>
      <c r="H64" t="n">
        <v>0</v>
      </c>
      <c r="I64" t="n">
        <v>0</v>
      </c>
      <c r="J64" t="n">
        <v>0</v>
      </c>
      <c r="K64" t="n">
        <v>0</v>
      </c>
      <c r="L64" t="n">
        <v>0</v>
      </c>
      <c r="M64" t="n">
        <v>0</v>
      </c>
      <c r="N64" t="n">
        <v>0</v>
      </c>
      <c r="O64" t="n">
        <v>0</v>
      </c>
      <c r="P64" t="n">
        <v>0</v>
      </c>
      <c r="Q64" t="n">
        <v>0</v>
      </c>
      <c r="R64" s="2" t="inlineStr"/>
    </row>
    <row r="65" ht="15" customHeight="1">
      <c r="A65" t="inlineStr">
        <is>
          <t>A 27424-2024</t>
        </is>
      </c>
      <c r="B65" s="1" t="n">
        <v>45474</v>
      </c>
      <c r="C65" s="1" t="n">
        <v>45914</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16483-2024</t>
        </is>
      </c>
      <c r="B66" s="1" t="n">
        <v>45408</v>
      </c>
      <c r="C66" s="1" t="n">
        <v>45914</v>
      </c>
      <c r="D66" t="inlineStr">
        <is>
          <t>SKÅNE LÄN</t>
        </is>
      </c>
      <c r="E66" t="inlineStr">
        <is>
          <t>TOMELILLA</t>
        </is>
      </c>
      <c r="G66" t="n">
        <v>0.7</v>
      </c>
      <c r="H66" t="n">
        <v>0</v>
      </c>
      <c r="I66" t="n">
        <v>0</v>
      </c>
      <c r="J66" t="n">
        <v>0</v>
      </c>
      <c r="K66" t="n">
        <v>0</v>
      </c>
      <c r="L66" t="n">
        <v>0</v>
      </c>
      <c r="M66" t="n">
        <v>0</v>
      </c>
      <c r="N66" t="n">
        <v>0</v>
      </c>
      <c r="O66" t="n">
        <v>0</v>
      </c>
      <c r="P66" t="n">
        <v>0</v>
      </c>
      <c r="Q66" t="n">
        <v>0</v>
      </c>
      <c r="R66" s="2" t="inlineStr"/>
    </row>
    <row r="67" ht="15" customHeight="1">
      <c r="A67" t="inlineStr">
        <is>
          <t>A 995-2025</t>
        </is>
      </c>
      <c r="B67" s="1" t="n">
        <v>45666.45462962963</v>
      </c>
      <c r="C67" s="1" t="n">
        <v>45914</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16568-2024</t>
        </is>
      </c>
      <c r="B68" s="1" t="n">
        <v>45408</v>
      </c>
      <c r="C68" s="1" t="n">
        <v>45914</v>
      </c>
      <c r="D68" t="inlineStr">
        <is>
          <t>SKÅNE LÄN</t>
        </is>
      </c>
      <c r="E68" t="inlineStr">
        <is>
          <t>TOMELILLA</t>
        </is>
      </c>
      <c r="G68" t="n">
        <v>0.6</v>
      </c>
      <c r="H68" t="n">
        <v>0</v>
      </c>
      <c r="I68" t="n">
        <v>0</v>
      </c>
      <c r="J68" t="n">
        <v>0</v>
      </c>
      <c r="K68" t="n">
        <v>0</v>
      </c>
      <c r="L68" t="n">
        <v>0</v>
      </c>
      <c r="M68" t="n">
        <v>0</v>
      </c>
      <c r="N68" t="n">
        <v>0</v>
      </c>
      <c r="O68" t="n">
        <v>0</v>
      </c>
      <c r="P68" t="n">
        <v>0</v>
      </c>
      <c r="Q68" t="n">
        <v>0</v>
      </c>
      <c r="R68" s="2" t="inlineStr"/>
    </row>
    <row r="69" ht="15" customHeight="1">
      <c r="A69" t="inlineStr">
        <is>
          <t>A 12310-2023</t>
        </is>
      </c>
      <c r="B69" s="1" t="n">
        <v>44999</v>
      </c>
      <c r="C69" s="1" t="n">
        <v>45914</v>
      </c>
      <c r="D69" t="inlineStr">
        <is>
          <t>SKÅNE LÄN</t>
        </is>
      </c>
      <c r="E69" t="inlineStr">
        <is>
          <t>TOMELILLA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60813-2023</t>
        </is>
      </c>
      <c r="B70" s="1" t="n">
        <v>45260</v>
      </c>
      <c r="C70" s="1" t="n">
        <v>45914</v>
      </c>
      <c r="D70" t="inlineStr">
        <is>
          <t>SKÅNE LÄN</t>
        </is>
      </c>
      <c r="E70" t="inlineStr">
        <is>
          <t>TOMELILLA</t>
        </is>
      </c>
      <c r="G70" t="n">
        <v>3</v>
      </c>
      <c r="H70" t="n">
        <v>0</v>
      </c>
      <c r="I70" t="n">
        <v>0</v>
      </c>
      <c r="J70" t="n">
        <v>0</v>
      </c>
      <c r="K70" t="n">
        <v>0</v>
      </c>
      <c r="L70" t="n">
        <v>0</v>
      </c>
      <c r="M70" t="n">
        <v>0</v>
      </c>
      <c r="N70" t="n">
        <v>0</v>
      </c>
      <c r="O70" t="n">
        <v>0</v>
      </c>
      <c r="P70" t="n">
        <v>0</v>
      </c>
      <c r="Q70" t="n">
        <v>0</v>
      </c>
      <c r="R70" s="2" t="inlineStr"/>
    </row>
    <row r="71" ht="15" customHeight="1">
      <c r="A71" t="inlineStr">
        <is>
          <t>A 60815-2023</t>
        </is>
      </c>
      <c r="B71" s="1" t="n">
        <v>45260.71196759259</v>
      </c>
      <c r="C71" s="1" t="n">
        <v>45914</v>
      </c>
      <c r="D71" t="inlineStr">
        <is>
          <t>SKÅNE LÄN</t>
        </is>
      </c>
      <c r="E71" t="inlineStr">
        <is>
          <t>TOMELILLA</t>
        </is>
      </c>
      <c r="G71" t="n">
        <v>2.5</v>
      </c>
      <c r="H71" t="n">
        <v>0</v>
      </c>
      <c r="I71" t="n">
        <v>0</v>
      </c>
      <c r="J71" t="n">
        <v>0</v>
      </c>
      <c r="K71" t="n">
        <v>0</v>
      </c>
      <c r="L71" t="n">
        <v>0</v>
      </c>
      <c r="M71" t="n">
        <v>0</v>
      </c>
      <c r="N71" t="n">
        <v>0</v>
      </c>
      <c r="O71" t="n">
        <v>0</v>
      </c>
      <c r="P71" t="n">
        <v>0</v>
      </c>
      <c r="Q71" t="n">
        <v>0</v>
      </c>
      <c r="R71" s="2" t="inlineStr"/>
    </row>
    <row r="72" ht="15" customHeight="1">
      <c r="A72" t="inlineStr">
        <is>
          <t>A 60817-2023</t>
        </is>
      </c>
      <c r="B72" s="1" t="n">
        <v>45260.71628472222</v>
      </c>
      <c r="C72" s="1" t="n">
        <v>45914</v>
      </c>
      <c r="D72" t="inlineStr">
        <is>
          <t>SKÅNE LÄN</t>
        </is>
      </c>
      <c r="E72" t="inlineStr">
        <is>
          <t>TOMELILLA</t>
        </is>
      </c>
      <c r="G72" t="n">
        <v>4.3</v>
      </c>
      <c r="H72" t="n">
        <v>0</v>
      </c>
      <c r="I72" t="n">
        <v>0</v>
      </c>
      <c r="J72" t="n">
        <v>0</v>
      </c>
      <c r="K72" t="n">
        <v>0</v>
      </c>
      <c r="L72" t="n">
        <v>0</v>
      </c>
      <c r="M72" t="n">
        <v>0</v>
      </c>
      <c r="N72" t="n">
        <v>0</v>
      </c>
      <c r="O72" t="n">
        <v>0</v>
      </c>
      <c r="P72" t="n">
        <v>0</v>
      </c>
      <c r="Q72" t="n">
        <v>0</v>
      </c>
      <c r="R72" s="2" t="inlineStr"/>
    </row>
    <row r="73" ht="15" customHeight="1">
      <c r="A73" t="inlineStr">
        <is>
          <t>A 7955-2024</t>
        </is>
      </c>
      <c r="B73" s="1" t="n">
        <v>45350</v>
      </c>
      <c r="C73" s="1" t="n">
        <v>45914</v>
      </c>
      <c r="D73" t="inlineStr">
        <is>
          <t>SKÅNE LÄN</t>
        </is>
      </c>
      <c r="E73" t="inlineStr">
        <is>
          <t>TOMELILLA</t>
        </is>
      </c>
      <c r="G73" t="n">
        <v>2.2</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45914</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11811-2025</t>
        </is>
      </c>
      <c r="B75" s="1" t="n">
        <v>45727.9189699074</v>
      </c>
      <c r="C75" s="1" t="n">
        <v>45914</v>
      </c>
      <c r="D75" t="inlineStr">
        <is>
          <t>SKÅNE LÄN</t>
        </is>
      </c>
      <c r="E75" t="inlineStr">
        <is>
          <t>TOMELILLA</t>
        </is>
      </c>
      <c r="G75" t="n">
        <v>9.699999999999999</v>
      </c>
      <c r="H75" t="n">
        <v>0</v>
      </c>
      <c r="I75" t="n">
        <v>0</v>
      </c>
      <c r="J75" t="n">
        <v>0</v>
      </c>
      <c r="K75" t="n">
        <v>0</v>
      </c>
      <c r="L75" t="n">
        <v>0</v>
      </c>
      <c r="M75" t="n">
        <v>0</v>
      </c>
      <c r="N75" t="n">
        <v>0</v>
      </c>
      <c r="O75" t="n">
        <v>0</v>
      </c>
      <c r="P75" t="n">
        <v>0</v>
      </c>
      <c r="Q75" t="n">
        <v>0</v>
      </c>
      <c r="R75" s="2" t="inlineStr"/>
    </row>
    <row r="76" ht="15" customHeight="1">
      <c r="A76" t="inlineStr">
        <is>
          <t>A 38562-2023</t>
        </is>
      </c>
      <c r="B76" s="1" t="n">
        <v>45162</v>
      </c>
      <c r="C76" s="1" t="n">
        <v>45914</v>
      </c>
      <c r="D76" t="inlineStr">
        <is>
          <t>SKÅNE LÄN</t>
        </is>
      </c>
      <c r="E76" t="inlineStr">
        <is>
          <t>TOMELILLA</t>
        </is>
      </c>
      <c r="G76" t="n">
        <v>2.2</v>
      </c>
      <c r="H76" t="n">
        <v>0</v>
      </c>
      <c r="I76" t="n">
        <v>0</v>
      </c>
      <c r="J76" t="n">
        <v>0</v>
      </c>
      <c r="K76" t="n">
        <v>0</v>
      </c>
      <c r="L76" t="n">
        <v>0</v>
      </c>
      <c r="M76" t="n">
        <v>0</v>
      </c>
      <c r="N76" t="n">
        <v>0</v>
      </c>
      <c r="O76" t="n">
        <v>0</v>
      </c>
      <c r="P76" t="n">
        <v>0</v>
      </c>
      <c r="Q76" t="n">
        <v>0</v>
      </c>
      <c r="R76" s="2" t="inlineStr"/>
    </row>
    <row r="77" ht="15" customHeight="1">
      <c r="A77" t="inlineStr">
        <is>
          <t>A 51031-2023</t>
        </is>
      </c>
      <c r="B77" s="1" t="n">
        <v>45211</v>
      </c>
      <c r="C77" s="1" t="n">
        <v>45914</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59528-2022</t>
        </is>
      </c>
      <c r="B78" s="1" t="n">
        <v>44907</v>
      </c>
      <c r="C78" s="1" t="n">
        <v>45914</v>
      </c>
      <c r="D78" t="inlineStr">
        <is>
          <t>SKÅNE LÄN</t>
        </is>
      </c>
      <c r="E78" t="inlineStr">
        <is>
          <t>TOMELILLA</t>
        </is>
      </c>
      <c r="F78" t="inlineStr">
        <is>
          <t>Övriga Aktiebolag</t>
        </is>
      </c>
      <c r="G78" t="n">
        <v>3.8</v>
      </c>
      <c r="H78" t="n">
        <v>0</v>
      </c>
      <c r="I78" t="n">
        <v>0</v>
      </c>
      <c r="J78" t="n">
        <v>0</v>
      </c>
      <c r="K78" t="n">
        <v>0</v>
      </c>
      <c r="L78" t="n">
        <v>0</v>
      </c>
      <c r="M78" t="n">
        <v>0</v>
      </c>
      <c r="N78" t="n">
        <v>0</v>
      </c>
      <c r="O78" t="n">
        <v>0</v>
      </c>
      <c r="P78" t="n">
        <v>0</v>
      </c>
      <c r="Q78" t="n">
        <v>0</v>
      </c>
      <c r="R78" s="2" t="inlineStr"/>
    </row>
    <row r="79" ht="15" customHeight="1">
      <c r="A79" t="inlineStr">
        <is>
          <t>A 2190-2022</t>
        </is>
      </c>
      <c r="B79" s="1" t="n">
        <v>44578.48868055556</v>
      </c>
      <c r="C79" s="1" t="n">
        <v>45914</v>
      </c>
      <c r="D79" t="inlineStr">
        <is>
          <t>SKÅNE LÄN</t>
        </is>
      </c>
      <c r="E79" t="inlineStr">
        <is>
          <t>TOMELILLA</t>
        </is>
      </c>
      <c r="F79" t="inlineStr">
        <is>
          <t>Sveaskog</t>
        </is>
      </c>
      <c r="G79" t="n">
        <v>4.9</v>
      </c>
      <c r="H79" t="n">
        <v>0</v>
      </c>
      <c r="I79" t="n">
        <v>0</v>
      </c>
      <c r="J79" t="n">
        <v>0</v>
      </c>
      <c r="K79" t="n">
        <v>0</v>
      </c>
      <c r="L79" t="n">
        <v>0</v>
      </c>
      <c r="M79" t="n">
        <v>0</v>
      </c>
      <c r="N79" t="n">
        <v>0</v>
      </c>
      <c r="O79" t="n">
        <v>0</v>
      </c>
      <c r="P79" t="n">
        <v>0</v>
      </c>
      <c r="Q79" t="n">
        <v>0</v>
      </c>
      <c r="R79" s="2" t="inlineStr"/>
    </row>
    <row r="80" ht="15" customHeight="1">
      <c r="A80" t="inlineStr">
        <is>
          <t>A 2193-2022</t>
        </is>
      </c>
      <c r="B80" s="1" t="n">
        <v>44578.49351851852</v>
      </c>
      <c r="C80" s="1" t="n">
        <v>45914</v>
      </c>
      <c r="D80" t="inlineStr">
        <is>
          <t>SKÅNE LÄN</t>
        </is>
      </c>
      <c r="E80" t="inlineStr">
        <is>
          <t>TOMELILLA</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16027-2022</t>
        </is>
      </c>
      <c r="B81" s="1" t="n">
        <v>44665</v>
      </c>
      <c r="C81" s="1" t="n">
        <v>45914</v>
      </c>
      <c r="D81" t="inlineStr">
        <is>
          <t>SKÅNE LÄN</t>
        </is>
      </c>
      <c r="E81" t="inlineStr">
        <is>
          <t>TOMELILLA</t>
        </is>
      </c>
      <c r="F81" t="inlineStr">
        <is>
          <t>Övriga Aktiebolag</t>
        </is>
      </c>
      <c r="G81" t="n">
        <v>1.9</v>
      </c>
      <c r="H81" t="n">
        <v>0</v>
      </c>
      <c r="I81" t="n">
        <v>0</v>
      </c>
      <c r="J81" t="n">
        <v>0</v>
      </c>
      <c r="K81" t="n">
        <v>0</v>
      </c>
      <c r="L81" t="n">
        <v>0</v>
      </c>
      <c r="M81" t="n">
        <v>0</v>
      </c>
      <c r="N81" t="n">
        <v>0</v>
      </c>
      <c r="O81" t="n">
        <v>0</v>
      </c>
      <c r="P81" t="n">
        <v>0</v>
      </c>
      <c r="Q81" t="n">
        <v>0</v>
      </c>
      <c r="R81" s="2" t="inlineStr"/>
    </row>
    <row r="82" ht="15" customHeight="1">
      <c r="A82" t="inlineStr">
        <is>
          <t>A 10272-2023</t>
        </is>
      </c>
      <c r="B82" s="1" t="n">
        <v>44986</v>
      </c>
      <c r="C82" s="1" t="n">
        <v>45914</v>
      </c>
      <c r="D82" t="inlineStr">
        <is>
          <t>SKÅNE LÄN</t>
        </is>
      </c>
      <c r="E82" t="inlineStr">
        <is>
          <t>TOMELILLA</t>
        </is>
      </c>
      <c r="F82" t="inlineStr">
        <is>
          <t>Övriga Aktiebolag</t>
        </is>
      </c>
      <c r="G82" t="n">
        <v>7.7</v>
      </c>
      <c r="H82" t="n">
        <v>0</v>
      </c>
      <c r="I82" t="n">
        <v>0</v>
      </c>
      <c r="J82" t="n">
        <v>0</v>
      </c>
      <c r="K82" t="n">
        <v>0</v>
      </c>
      <c r="L82" t="n">
        <v>0</v>
      </c>
      <c r="M82" t="n">
        <v>0</v>
      </c>
      <c r="N82" t="n">
        <v>0</v>
      </c>
      <c r="O82" t="n">
        <v>0</v>
      </c>
      <c r="P82" t="n">
        <v>0</v>
      </c>
      <c r="Q82" t="n">
        <v>0</v>
      </c>
      <c r="R82" s="2" t="inlineStr"/>
    </row>
    <row r="83" ht="15" customHeight="1">
      <c r="A83" t="inlineStr">
        <is>
          <t>A 55676-2022</t>
        </is>
      </c>
      <c r="B83" s="1" t="n">
        <v>44888</v>
      </c>
      <c r="C83" s="1" t="n">
        <v>45914</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6259-2024</t>
        </is>
      </c>
      <c r="B84" s="1" t="n">
        <v>45337</v>
      </c>
      <c r="C84" s="1" t="n">
        <v>45914</v>
      </c>
      <c r="D84" t="inlineStr">
        <is>
          <t>SKÅNE LÄN</t>
        </is>
      </c>
      <c r="E84" t="inlineStr">
        <is>
          <t>TOMELILLA</t>
        </is>
      </c>
      <c r="G84" t="n">
        <v>5</v>
      </c>
      <c r="H84" t="n">
        <v>0</v>
      </c>
      <c r="I84" t="n">
        <v>0</v>
      </c>
      <c r="J84" t="n">
        <v>0</v>
      </c>
      <c r="K84" t="n">
        <v>0</v>
      </c>
      <c r="L84" t="n">
        <v>0</v>
      </c>
      <c r="M84" t="n">
        <v>0</v>
      </c>
      <c r="N84" t="n">
        <v>0</v>
      </c>
      <c r="O84" t="n">
        <v>0</v>
      </c>
      <c r="P84" t="n">
        <v>0</v>
      </c>
      <c r="Q84" t="n">
        <v>0</v>
      </c>
      <c r="R84" s="2" t="inlineStr"/>
    </row>
    <row r="85" ht="15" customHeight="1">
      <c r="A85" t="inlineStr">
        <is>
          <t>A 566-2024</t>
        </is>
      </c>
      <c r="B85" s="1" t="n">
        <v>45299</v>
      </c>
      <c r="C85" s="1" t="n">
        <v>45914</v>
      </c>
      <c r="D85" t="inlineStr">
        <is>
          <t>SKÅNE LÄN</t>
        </is>
      </c>
      <c r="E85" t="inlineStr">
        <is>
          <t>TOMELILLA</t>
        </is>
      </c>
      <c r="F85" t="inlineStr">
        <is>
          <t>Övriga Aktiebolag</t>
        </is>
      </c>
      <c r="G85" t="n">
        <v>5.7</v>
      </c>
      <c r="H85" t="n">
        <v>0</v>
      </c>
      <c r="I85" t="n">
        <v>0</v>
      </c>
      <c r="J85" t="n">
        <v>0</v>
      </c>
      <c r="K85" t="n">
        <v>0</v>
      </c>
      <c r="L85" t="n">
        <v>0</v>
      </c>
      <c r="M85" t="n">
        <v>0</v>
      </c>
      <c r="N85" t="n">
        <v>0</v>
      </c>
      <c r="O85" t="n">
        <v>0</v>
      </c>
      <c r="P85" t="n">
        <v>0</v>
      </c>
      <c r="Q85" t="n">
        <v>0</v>
      </c>
      <c r="R85" s="2" t="inlineStr"/>
    </row>
    <row r="86" ht="15" customHeight="1">
      <c r="A86" t="inlineStr">
        <is>
          <t>A 30806-2023</t>
        </is>
      </c>
      <c r="B86" s="1" t="n">
        <v>45112.82001157408</v>
      </c>
      <c r="C86" s="1" t="n">
        <v>45914</v>
      </c>
      <c r="D86" t="inlineStr">
        <is>
          <t>SKÅNE LÄN</t>
        </is>
      </c>
      <c r="E86" t="inlineStr">
        <is>
          <t>TOMELILLA</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14152-2023</t>
        </is>
      </c>
      <c r="B87" s="1" t="n">
        <v>45009</v>
      </c>
      <c r="C87" s="1" t="n">
        <v>45914</v>
      </c>
      <c r="D87" t="inlineStr">
        <is>
          <t>SKÅNE LÄN</t>
        </is>
      </c>
      <c r="E87" t="inlineStr">
        <is>
          <t>TOMELILLA</t>
        </is>
      </c>
      <c r="G87" t="n">
        <v>3.5</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45914</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45914</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1199-2024</t>
        </is>
      </c>
      <c r="B90" s="1" t="n">
        <v>45302</v>
      </c>
      <c r="C90" s="1" t="n">
        <v>45914</v>
      </c>
      <c r="D90" t="inlineStr">
        <is>
          <t>SKÅNE LÄN</t>
        </is>
      </c>
      <c r="E90" t="inlineStr">
        <is>
          <t>TOMELILLA</t>
        </is>
      </c>
      <c r="F90" t="inlineStr">
        <is>
          <t>Övriga Aktiebolag</t>
        </is>
      </c>
      <c r="G90" t="n">
        <v>16.1</v>
      </c>
      <c r="H90" t="n">
        <v>0</v>
      </c>
      <c r="I90" t="n">
        <v>0</v>
      </c>
      <c r="J90" t="n">
        <v>0</v>
      </c>
      <c r="K90" t="n">
        <v>0</v>
      </c>
      <c r="L90" t="n">
        <v>0</v>
      </c>
      <c r="M90" t="n">
        <v>0</v>
      </c>
      <c r="N90" t="n">
        <v>0</v>
      </c>
      <c r="O90" t="n">
        <v>0</v>
      </c>
      <c r="P90" t="n">
        <v>0</v>
      </c>
      <c r="Q90" t="n">
        <v>0</v>
      </c>
      <c r="R90" s="2" t="inlineStr"/>
    </row>
    <row r="91" ht="15" customHeight="1">
      <c r="A91" t="inlineStr">
        <is>
          <t>A 42387-2022</t>
        </is>
      </c>
      <c r="B91" s="1" t="n">
        <v>44830</v>
      </c>
      <c r="C91" s="1" t="n">
        <v>45914</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45914</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13159-2024</t>
        </is>
      </c>
      <c r="B93" s="1" t="n">
        <v>45386</v>
      </c>
      <c r="C93" s="1" t="n">
        <v>45914</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11002-2023</t>
        </is>
      </c>
      <c r="B94" s="1" t="n">
        <v>44991</v>
      </c>
      <c r="C94" s="1" t="n">
        <v>45914</v>
      </c>
      <c r="D94" t="inlineStr">
        <is>
          <t>SKÅNE LÄN</t>
        </is>
      </c>
      <c r="E94" t="inlineStr">
        <is>
          <t>TOMELILLA</t>
        </is>
      </c>
      <c r="F94" t="inlineStr">
        <is>
          <t>Övriga Aktiebolag</t>
        </is>
      </c>
      <c r="G94" t="n">
        <v>3.6</v>
      </c>
      <c r="H94" t="n">
        <v>0</v>
      </c>
      <c r="I94" t="n">
        <v>0</v>
      </c>
      <c r="J94" t="n">
        <v>0</v>
      </c>
      <c r="K94" t="n">
        <v>0</v>
      </c>
      <c r="L94" t="n">
        <v>0</v>
      </c>
      <c r="M94" t="n">
        <v>0</v>
      </c>
      <c r="N94" t="n">
        <v>0</v>
      </c>
      <c r="O94" t="n">
        <v>0</v>
      </c>
      <c r="P94" t="n">
        <v>0</v>
      </c>
      <c r="Q94" t="n">
        <v>0</v>
      </c>
      <c r="R94" s="2" t="inlineStr"/>
    </row>
    <row r="95" ht="15" customHeight="1">
      <c r="A95" t="inlineStr">
        <is>
          <t>A 35142-2021</t>
        </is>
      </c>
      <c r="B95" s="1" t="n">
        <v>44384</v>
      </c>
      <c r="C95" s="1" t="n">
        <v>45914</v>
      </c>
      <c r="D95" t="inlineStr">
        <is>
          <t>SKÅNE LÄN</t>
        </is>
      </c>
      <c r="E95" t="inlineStr">
        <is>
          <t>TOMELILLA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45914</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26473-2024</t>
        </is>
      </c>
      <c r="B97" s="1" t="n">
        <v>45469</v>
      </c>
      <c r="C97" s="1" t="n">
        <v>45914</v>
      </c>
      <c r="D97" t="inlineStr">
        <is>
          <t>SKÅNE LÄN</t>
        </is>
      </c>
      <c r="E97" t="inlineStr">
        <is>
          <t>TOMELILLA</t>
        </is>
      </c>
      <c r="G97" t="n">
        <v>4.4</v>
      </c>
      <c r="H97" t="n">
        <v>0</v>
      </c>
      <c r="I97" t="n">
        <v>0</v>
      </c>
      <c r="J97" t="n">
        <v>0</v>
      </c>
      <c r="K97" t="n">
        <v>0</v>
      </c>
      <c r="L97" t="n">
        <v>0</v>
      </c>
      <c r="M97" t="n">
        <v>0</v>
      </c>
      <c r="N97" t="n">
        <v>0</v>
      </c>
      <c r="O97" t="n">
        <v>0</v>
      </c>
      <c r="P97" t="n">
        <v>0</v>
      </c>
      <c r="Q97" t="n">
        <v>0</v>
      </c>
      <c r="R97" s="2" t="inlineStr"/>
    </row>
    <row r="98" ht="15" customHeight="1">
      <c r="A98" t="inlineStr">
        <is>
          <t>A 17778-2024</t>
        </is>
      </c>
      <c r="B98" s="1" t="n">
        <v>45418</v>
      </c>
      <c r="C98" s="1" t="n">
        <v>45914</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7745-2025</t>
        </is>
      </c>
      <c r="B99" s="1" t="n">
        <v>45706</v>
      </c>
      <c r="C99" s="1" t="n">
        <v>45914</v>
      </c>
      <c r="D99" t="inlineStr">
        <is>
          <t>SKÅNE LÄN</t>
        </is>
      </c>
      <c r="E99" t="inlineStr">
        <is>
          <t>TOMELILLA</t>
        </is>
      </c>
      <c r="G99" t="n">
        <v>0.4</v>
      </c>
      <c r="H99" t="n">
        <v>0</v>
      </c>
      <c r="I99" t="n">
        <v>0</v>
      </c>
      <c r="J99" t="n">
        <v>0</v>
      </c>
      <c r="K99" t="n">
        <v>0</v>
      </c>
      <c r="L99" t="n">
        <v>0</v>
      </c>
      <c r="M99" t="n">
        <v>0</v>
      </c>
      <c r="N99" t="n">
        <v>0</v>
      </c>
      <c r="O99" t="n">
        <v>0</v>
      </c>
      <c r="P99" t="n">
        <v>0</v>
      </c>
      <c r="Q99" t="n">
        <v>0</v>
      </c>
      <c r="R99" s="2" t="inlineStr"/>
    </row>
    <row r="100" ht="15" customHeight="1">
      <c r="A100" t="inlineStr">
        <is>
          <t>A 15921-2025</t>
        </is>
      </c>
      <c r="B100" s="1" t="n">
        <v>45749</v>
      </c>
      <c r="C100" s="1" t="n">
        <v>45914</v>
      </c>
      <c r="D100" t="inlineStr">
        <is>
          <t>SKÅNE LÄN</t>
        </is>
      </c>
      <c r="E100" t="inlineStr">
        <is>
          <t>TOMELILLA</t>
        </is>
      </c>
      <c r="G100" t="n">
        <v>2.8</v>
      </c>
      <c r="H100" t="n">
        <v>0</v>
      </c>
      <c r="I100" t="n">
        <v>0</v>
      </c>
      <c r="J100" t="n">
        <v>0</v>
      </c>
      <c r="K100" t="n">
        <v>0</v>
      </c>
      <c r="L100" t="n">
        <v>0</v>
      </c>
      <c r="M100" t="n">
        <v>0</v>
      </c>
      <c r="N100" t="n">
        <v>0</v>
      </c>
      <c r="O100" t="n">
        <v>0</v>
      </c>
      <c r="P100" t="n">
        <v>0</v>
      </c>
      <c r="Q100" t="n">
        <v>0</v>
      </c>
      <c r="R100" s="2" t="inlineStr"/>
    </row>
    <row r="101" ht="15" customHeight="1">
      <c r="A101" t="inlineStr">
        <is>
          <t>A 15305-2025</t>
        </is>
      </c>
      <c r="B101" s="1" t="n">
        <v>45746</v>
      </c>
      <c r="C101" s="1" t="n">
        <v>45914</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28966-2022</t>
        </is>
      </c>
      <c r="B102" s="1" t="n">
        <v>44749</v>
      </c>
      <c r="C102" s="1" t="n">
        <v>45914</v>
      </c>
      <c r="D102" t="inlineStr">
        <is>
          <t>SKÅNE LÄN</t>
        </is>
      </c>
      <c r="E102" t="inlineStr">
        <is>
          <t>TOMELILLA</t>
        </is>
      </c>
      <c r="G102" t="n">
        <v>3.2</v>
      </c>
      <c r="H102" t="n">
        <v>0</v>
      </c>
      <c r="I102" t="n">
        <v>0</v>
      </c>
      <c r="J102" t="n">
        <v>0</v>
      </c>
      <c r="K102" t="n">
        <v>0</v>
      </c>
      <c r="L102" t="n">
        <v>0</v>
      </c>
      <c r="M102" t="n">
        <v>0</v>
      </c>
      <c r="N102" t="n">
        <v>0</v>
      </c>
      <c r="O102" t="n">
        <v>0</v>
      </c>
      <c r="P102" t="n">
        <v>0</v>
      </c>
      <c r="Q102" t="n">
        <v>0</v>
      </c>
      <c r="R102" s="2" t="inlineStr"/>
    </row>
    <row r="103" ht="15" customHeight="1">
      <c r="A103" t="inlineStr">
        <is>
          <t>A 23496-2024</t>
        </is>
      </c>
      <c r="B103" s="1" t="n">
        <v>45453</v>
      </c>
      <c r="C103" s="1" t="n">
        <v>45914</v>
      </c>
      <c r="D103" t="inlineStr">
        <is>
          <t>SKÅNE LÄN</t>
        </is>
      </c>
      <c r="E103" t="inlineStr">
        <is>
          <t>TOMELILLA</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578-2024</t>
        </is>
      </c>
      <c r="B104" s="1" t="n">
        <v>45299</v>
      </c>
      <c r="C104" s="1" t="n">
        <v>45914</v>
      </c>
      <c r="D104" t="inlineStr">
        <is>
          <t>SKÅNE LÄN</t>
        </is>
      </c>
      <c r="E104" t="inlineStr">
        <is>
          <t>TOMELILLA</t>
        </is>
      </c>
      <c r="F104" t="inlineStr">
        <is>
          <t>Övriga Aktiebolag</t>
        </is>
      </c>
      <c r="G104" t="n">
        <v>67.40000000000001</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45914</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45914</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45914</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15158-2025</t>
        </is>
      </c>
      <c r="B108" s="1" t="n">
        <v>45744</v>
      </c>
      <c r="C108" s="1" t="n">
        <v>45914</v>
      </c>
      <c r="D108" t="inlineStr">
        <is>
          <t>SKÅNE LÄN</t>
        </is>
      </c>
      <c r="E108" t="inlineStr">
        <is>
          <t>TOMELILLA</t>
        </is>
      </c>
      <c r="G108" t="n">
        <v>1.8</v>
      </c>
      <c r="H108" t="n">
        <v>0</v>
      </c>
      <c r="I108" t="n">
        <v>0</v>
      </c>
      <c r="J108" t="n">
        <v>0</v>
      </c>
      <c r="K108" t="n">
        <v>0</v>
      </c>
      <c r="L108" t="n">
        <v>0</v>
      </c>
      <c r="M108" t="n">
        <v>0</v>
      </c>
      <c r="N108" t="n">
        <v>0</v>
      </c>
      <c r="O108" t="n">
        <v>0</v>
      </c>
      <c r="P108" t="n">
        <v>0</v>
      </c>
      <c r="Q108" t="n">
        <v>0</v>
      </c>
      <c r="R108" s="2" t="inlineStr"/>
    </row>
    <row r="109" ht="15" customHeight="1">
      <c r="A109" t="inlineStr">
        <is>
          <t>A 12988-2024</t>
        </is>
      </c>
      <c r="B109" s="1" t="n">
        <v>45385.55417824074</v>
      </c>
      <c r="C109" s="1" t="n">
        <v>45914</v>
      </c>
      <c r="D109" t="inlineStr">
        <is>
          <t>SKÅNE LÄN</t>
        </is>
      </c>
      <c r="E109" t="inlineStr">
        <is>
          <t>TOMELILLA</t>
        </is>
      </c>
      <c r="F109" t="inlineStr">
        <is>
          <t>Övriga Aktiebolag</t>
        </is>
      </c>
      <c r="G109" t="n">
        <v>16.2</v>
      </c>
      <c r="H109" t="n">
        <v>0</v>
      </c>
      <c r="I109" t="n">
        <v>0</v>
      </c>
      <c r="J109" t="n">
        <v>0</v>
      </c>
      <c r="K109" t="n">
        <v>0</v>
      </c>
      <c r="L109" t="n">
        <v>0</v>
      </c>
      <c r="M109" t="n">
        <v>0</v>
      </c>
      <c r="N109" t="n">
        <v>0</v>
      </c>
      <c r="O109" t="n">
        <v>0</v>
      </c>
      <c r="P109" t="n">
        <v>0</v>
      </c>
      <c r="Q109" t="n">
        <v>0</v>
      </c>
      <c r="R109" s="2" t="inlineStr"/>
    </row>
    <row r="110" ht="15" customHeight="1">
      <c r="A110" t="inlineStr">
        <is>
          <t>A 15917-2025</t>
        </is>
      </c>
      <c r="B110" s="1" t="n">
        <v>45749.45480324074</v>
      </c>
      <c r="C110" s="1" t="n">
        <v>45914</v>
      </c>
      <c r="D110" t="inlineStr">
        <is>
          <t>SKÅNE LÄN</t>
        </is>
      </c>
      <c r="E110" t="inlineStr">
        <is>
          <t>TOMELILLA</t>
        </is>
      </c>
      <c r="G110" t="n">
        <v>12.5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45914</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45914</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39796-2025</t>
        </is>
      </c>
      <c r="B113" s="1" t="n">
        <v>45891</v>
      </c>
      <c r="C113" s="1" t="n">
        <v>45914</v>
      </c>
      <c r="D113" t="inlineStr">
        <is>
          <t>SKÅNE LÄN</t>
        </is>
      </c>
      <c r="E113" t="inlineStr">
        <is>
          <t>TOMELILLA</t>
        </is>
      </c>
      <c r="G113" t="n">
        <v>4.2</v>
      </c>
      <c r="H113" t="n">
        <v>0</v>
      </c>
      <c r="I113" t="n">
        <v>0</v>
      </c>
      <c r="J113" t="n">
        <v>0</v>
      </c>
      <c r="K113" t="n">
        <v>0</v>
      </c>
      <c r="L113" t="n">
        <v>0</v>
      </c>
      <c r="M113" t="n">
        <v>0</v>
      </c>
      <c r="N113" t="n">
        <v>0</v>
      </c>
      <c r="O113" t="n">
        <v>0</v>
      </c>
      <c r="P113" t="n">
        <v>0</v>
      </c>
      <c r="Q113" t="n">
        <v>0</v>
      </c>
      <c r="R113" s="2" t="inlineStr"/>
    </row>
    <row r="114" ht="15" customHeight="1">
      <c r="A114" t="inlineStr">
        <is>
          <t>A 39791-2025</t>
        </is>
      </c>
      <c r="B114" s="1" t="n">
        <v>45891</v>
      </c>
      <c r="C114" s="1" t="n">
        <v>45914</v>
      </c>
      <c r="D114" t="inlineStr">
        <is>
          <t>SKÅNE LÄN</t>
        </is>
      </c>
      <c r="E114" t="inlineStr">
        <is>
          <t>TOMELILLA</t>
        </is>
      </c>
      <c r="G114" t="n">
        <v>4.2</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45914</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45914</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35792-2025</t>
        </is>
      </c>
      <c r="B117" s="1" t="n">
        <v>45861.34115740741</v>
      </c>
      <c r="C117" s="1" t="n">
        <v>45914</v>
      </c>
      <c r="D117" t="inlineStr">
        <is>
          <t>SKÅNE LÄN</t>
        </is>
      </c>
      <c r="E117" t="inlineStr">
        <is>
          <t>TOMELILLA</t>
        </is>
      </c>
      <c r="F117" t="inlineStr">
        <is>
          <t>Övriga Aktiebolag</t>
        </is>
      </c>
      <c r="G117" t="n">
        <v>1.3</v>
      </c>
      <c r="H117" t="n">
        <v>0</v>
      </c>
      <c r="I117" t="n">
        <v>0</v>
      </c>
      <c r="J117" t="n">
        <v>0</v>
      </c>
      <c r="K117" t="n">
        <v>0</v>
      </c>
      <c r="L117" t="n">
        <v>0</v>
      </c>
      <c r="M117" t="n">
        <v>0</v>
      </c>
      <c r="N117" t="n">
        <v>0</v>
      </c>
      <c r="O117" t="n">
        <v>0</v>
      </c>
      <c r="P117" t="n">
        <v>0</v>
      </c>
      <c r="Q117" t="n">
        <v>0</v>
      </c>
      <c r="R117" s="2" t="inlineStr"/>
    </row>
    <row r="118" ht="15" customHeight="1">
      <c r="A118" t="inlineStr">
        <is>
          <t>A 743-2024</t>
        </is>
      </c>
      <c r="B118" s="1" t="n">
        <v>45300</v>
      </c>
      <c r="C118" s="1" t="n">
        <v>45914</v>
      </c>
      <c r="D118" t="inlineStr">
        <is>
          <t>SKÅNE LÄN</t>
        </is>
      </c>
      <c r="E118" t="inlineStr">
        <is>
          <t>TOMELILLA</t>
        </is>
      </c>
      <c r="F118" t="inlineStr">
        <is>
          <t>Övriga Aktiebolag</t>
        </is>
      </c>
      <c r="G118" t="n">
        <v>11.1</v>
      </c>
      <c r="H118" t="n">
        <v>0</v>
      </c>
      <c r="I118" t="n">
        <v>0</v>
      </c>
      <c r="J118" t="n">
        <v>0</v>
      </c>
      <c r="K118" t="n">
        <v>0</v>
      </c>
      <c r="L118" t="n">
        <v>0</v>
      </c>
      <c r="M118" t="n">
        <v>0</v>
      </c>
      <c r="N118" t="n">
        <v>0</v>
      </c>
      <c r="O118" t="n">
        <v>0</v>
      </c>
      <c r="P118" t="n">
        <v>0</v>
      </c>
      <c r="Q118" t="n">
        <v>0</v>
      </c>
      <c r="R118" s="2" t="inlineStr"/>
    </row>
    <row r="119" ht="15" customHeight="1">
      <c r="A119" t="inlineStr">
        <is>
          <t>A 35971-2025</t>
        </is>
      </c>
      <c r="B119" s="1" t="n">
        <v>45863</v>
      </c>
      <c r="C119" s="1" t="n">
        <v>45914</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53977-2022</t>
        </is>
      </c>
      <c r="B120" s="1" t="n">
        <v>44876</v>
      </c>
      <c r="C120" s="1" t="n">
        <v>45914</v>
      </c>
      <c r="D120" t="inlineStr">
        <is>
          <t>SKÅNE LÄN</t>
        </is>
      </c>
      <c r="E120" t="inlineStr">
        <is>
          <t>TOMELILLA</t>
        </is>
      </c>
      <c r="G120" t="n">
        <v>2.4</v>
      </c>
      <c r="H120" t="n">
        <v>0</v>
      </c>
      <c r="I120" t="n">
        <v>0</v>
      </c>
      <c r="J120" t="n">
        <v>0</v>
      </c>
      <c r="K120" t="n">
        <v>0</v>
      </c>
      <c r="L120" t="n">
        <v>0</v>
      </c>
      <c r="M120" t="n">
        <v>0</v>
      </c>
      <c r="N120" t="n">
        <v>0</v>
      </c>
      <c r="O120" t="n">
        <v>0</v>
      </c>
      <c r="P120" t="n">
        <v>0</v>
      </c>
      <c r="Q120" t="n">
        <v>0</v>
      </c>
      <c r="R120" s="2" t="inlineStr"/>
    </row>
    <row r="121" ht="15" customHeight="1">
      <c r="A121" t="inlineStr">
        <is>
          <t>A 42929-2025</t>
        </is>
      </c>
      <c r="B121" s="1" t="n">
        <v>45909</v>
      </c>
      <c r="C121" s="1" t="n">
        <v>45914</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43306-2025</t>
        </is>
      </c>
      <c r="B122" s="1" t="n">
        <v>45910</v>
      </c>
      <c r="C122" s="1" t="n">
        <v>45914</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45914</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45914</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45914</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4188-2024</t>
        </is>
      </c>
      <c r="B126" s="1" t="n">
        <v>45324</v>
      </c>
      <c r="C126" s="1" t="n">
        <v>45914</v>
      </c>
      <c r="D126" t="inlineStr">
        <is>
          <t>SKÅNE LÄN</t>
        </is>
      </c>
      <c r="E126" t="inlineStr">
        <is>
          <t>TOMELILLA</t>
        </is>
      </c>
      <c r="F126" t="inlineStr">
        <is>
          <t>Övriga Aktiebolag</t>
        </is>
      </c>
      <c r="G126" t="n">
        <v>9.6</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45914</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45914</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36180-2024</t>
        </is>
      </c>
      <c r="B129" s="1" t="n">
        <v>45534</v>
      </c>
      <c r="C129" s="1" t="n">
        <v>45914</v>
      </c>
      <c r="D129" t="inlineStr">
        <is>
          <t>SKÅNE LÄN</t>
        </is>
      </c>
      <c r="E129" t="inlineStr">
        <is>
          <t>TOMELILLA</t>
        </is>
      </c>
      <c r="G129" t="n">
        <v>1.6</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45914</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15075-2024</t>
        </is>
      </c>
      <c r="B131" s="1" t="n">
        <v>45399</v>
      </c>
      <c r="C131" s="1" t="n">
        <v>45914</v>
      </c>
      <c r="D131" t="inlineStr">
        <is>
          <t>SKÅNE LÄN</t>
        </is>
      </c>
      <c r="E131" t="inlineStr">
        <is>
          <t>TOMELILLA</t>
        </is>
      </c>
      <c r="G131" t="n">
        <v>1.7</v>
      </c>
      <c r="H131" t="n">
        <v>0</v>
      </c>
      <c r="I131" t="n">
        <v>0</v>
      </c>
      <c r="J131" t="n">
        <v>0</v>
      </c>
      <c r="K131" t="n">
        <v>0</v>
      </c>
      <c r="L131" t="n">
        <v>0</v>
      </c>
      <c r="M131" t="n">
        <v>0</v>
      </c>
      <c r="N131" t="n">
        <v>0</v>
      </c>
      <c r="O131" t="n">
        <v>0</v>
      </c>
      <c r="P131" t="n">
        <v>0</v>
      </c>
      <c r="Q131" t="n">
        <v>0</v>
      </c>
      <c r="R131" s="2" t="inlineStr"/>
    </row>
    <row r="132" ht="15" customHeight="1">
      <c r="A132" t="inlineStr">
        <is>
          <t>A 11887-2024</t>
        </is>
      </c>
      <c r="B132" s="1" t="n">
        <v>45376.50527777777</v>
      </c>
      <c r="C132" s="1" t="n">
        <v>45914</v>
      </c>
      <c r="D132" t="inlineStr">
        <is>
          <t>SKÅNE LÄN</t>
        </is>
      </c>
      <c r="E132" t="inlineStr">
        <is>
          <t>TOMELILLA</t>
        </is>
      </c>
      <c r="F132" t="inlineStr">
        <is>
          <t>Övriga Aktiebolag</t>
        </is>
      </c>
      <c r="G132" t="n">
        <v>6.3</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45914</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c r="A134" t="inlineStr">
        <is>
          <t>A 24936-2024</t>
        </is>
      </c>
      <c r="B134" s="1" t="n">
        <v>45461.61817129629</v>
      </c>
      <c r="C134" s="1" t="n">
        <v>45914</v>
      </c>
      <c r="D134" t="inlineStr">
        <is>
          <t>SKÅNE LÄN</t>
        </is>
      </c>
      <c r="E134" t="inlineStr">
        <is>
          <t>TOMELILLA</t>
        </is>
      </c>
      <c r="F134" t="inlineStr">
        <is>
          <t>Sveaskog</t>
        </is>
      </c>
      <c r="G134" t="n">
        <v>2.5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2025-09-14T13:24:38Z</dcterms:created>
  <dcterms:modified xmlns:dcterms="http://purl.org/dc/terms/" xmlns:xsi="http://www.w3.org/2001/XMLSchema-instance" xsi:type="dcterms:W3CDTF">2025-09-14T13:24:38Z</dcterms:modified>
</cp:coreProperties>
</file>