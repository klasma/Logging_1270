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29860-2022</t>
        </is>
      </c>
      <c r="B2" s="1" t="n">
        <v>44756</v>
      </c>
      <c r="C2" s="1" t="n">
        <v>45585</v>
      </c>
      <c r="D2" t="inlineStr">
        <is>
          <t>SKÅNE LÄN</t>
        </is>
      </c>
      <c r="E2" t="inlineStr">
        <is>
          <t>TOMELILLA</t>
        </is>
      </c>
      <c r="G2" t="n">
        <v>14.1</v>
      </c>
      <c r="H2" t="n">
        <v>1</v>
      </c>
      <c r="I2" t="n">
        <v>4</v>
      </c>
      <c r="J2" t="n">
        <v>6</v>
      </c>
      <c r="K2" t="n">
        <v>3</v>
      </c>
      <c r="L2" t="n">
        <v>2</v>
      </c>
      <c r="M2" t="n">
        <v>0</v>
      </c>
      <c r="N2" t="n">
        <v>0</v>
      </c>
      <c r="O2" t="n">
        <v>11</v>
      </c>
      <c r="P2" t="n">
        <v>5</v>
      </c>
      <c r="Q2" t="n">
        <v>16</v>
      </c>
      <c r="R2" s="2" t="inlineStr">
        <is>
          <t>Ask
Askvårtlav
Almlav
Fläcklungört
Mulmknäppare
Bokvårtlav
Desmeknopp
Hålnunneört
Jordtistel
Sommarfibbla
Stiftklotterlav
Grå skärelav
Guldlockmossa
Rikfruktig blemlav
Strävlosta
Sankt pers nycklar</t>
        </is>
      </c>
      <c r="S2">
        <f>HYPERLINK("https://klasma.github.io/Logging_1270/artfynd/A 29860-2022 artfynd.xlsx", "A 29860-2022")</f>
        <v/>
      </c>
      <c r="T2">
        <f>HYPERLINK("https://klasma.github.io/Logging_1270/kartor/A 29860-2022 karta.png", "A 29860-2022")</f>
        <v/>
      </c>
      <c r="V2">
        <f>HYPERLINK("https://klasma.github.io/Logging_1270/klagomål/A 29860-2022 FSC-klagomål.docx", "A 29860-2022")</f>
        <v/>
      </c>
      <c r="W2">
        <f>HYPERLINK("https://klasma.github.io/Logging_1270/klagomålsmail/A 29860-2022 FSC-klagomål mail.docx", "A 29860-2022")</f>
        <v/>
      </c>
      <c r="X2">
        <f>HYPERLINK("https://klasma.github.io/Logging_1270/tillsyn/A 29860-2022 tillsynsbegäran.docx", "A 29860-2022")</f>
        <v/>
      </c>
      <c r="Y2">
        <f>HYPERLINK("https://klasma.github.io/Logging_1270/tillsynsmail/A 29860-2022 tillsynsbegäran mail.docx", "A 29860-2022")</f>
        <v/>
      </c>
    </row>
    <row r="3" ht="15" customHeight="1">
      <c r="A3" t="inlineStr">
        <is>
          <t>A 32389-2023</t>
        </is>
      </c>
      <c r="B3" s="1" t="n">
        <v>45120</v>
      </c>
      <c r="C3" s="1" t="n">
        <v>45585</v>
      </c>
      <c r="D3" t="inlineStr">
        <is>
          <t>SKÅNE LÄN</t>
        </is>
      </c>
      <c r="E3" t="inlineStr">
        <is>
          <t>TOMELILLA</t>
        </is>
      </c>
      <c r="F3" t="inlineStr">
        <is>
          <t>Övriga Aktiebolag</t>
        </is>
      </c>
      <c r="G3" t="n">
        <v>10.8</v>
      </c>
      <c r="H3" t="n">
        <v>6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Större musöra
Barbastell
Brunlångöra
Tibast
Dvärgpipistrell
Större brunfladdermus
Vattenfladdermus</t>
        </is>
      </c>
      <c r="S3">
        <f>HYPERLINK("https://klasma.github.io/Logging_1270/artfynd/A 32389-2023 artfynd.xlsx", "A 32389-2023")</f>
        <v/>
      </c>
      <c r="T3">
        <f>HYPERLINK("https://klasma.github.io/Logging_1270/kartor/A 32389-2023 karta.png", "A 32389-2023")</f>
        <v/>
      </c>
      <c r="V3">
        <f>HYPERLINK("https://klasma.github.io/Logging_1270/klagomål/A 32389-2023 FSC-klagomål.docx", "A 32389-2023")</f>
        <v/>
      </c>
      <c r="W3">
        <f>HYPERLINK("https://klasma.github.io/Logging_1270/klagomålsmail/A 32389-2023 FSC-klagomål mail.docx", "A 32389-2023")</f>
        <v/>
      </c>
      <c r="X3">
        <f>HYPERLINK("https://klasma.github.io/Logging_1270/tillsyn/A 32389-2023 tillsynsbegäran.docx", "A 32389-2023")</f>
        <v/>
      </c>
      <c r="Y3">
        <f>HYPERLINK("https://klasma.github.io/Logging_1270/tillsynsmail/A 32389-2023 tillsynsbegäran mail.docx", "A 32389-2023")</f>
        <v/>
      </c>
    </row>
    <row r="4" ht="15" customHeight="1">
      <c r="A4" t="inlineStr">
        <is>
          <t>A 56519-2019</t>
        </is>
      </c>
      <c r="B4" s="1" t="n">
        <v>43763</v>
      </c>
      <c r="C4" s="1" t="n">
        <v>45585</v>
      </c>
      <c r="D4" t="inlineStr">
        <is>
          <t>SKÅNE LÄN</t>
        </is>
      </c>
      <c r="E4" t="inlineStr">
        <is>
          <t>TOMELILLA</t>
        </is>
      </c>
      <c r="F4" t="inlineStr">
        <is>
          <t>Övriga Aktiebolag</t>
        </is>
      </c>
      <c r="G4" t="n">
        <v>3.2</v>
      </c>
      <c r="H4" t="n">
        <v>1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Krusfrö
Kransrams
Sårläka</t>
        </is>
      </c>
      <c r="S4">
        <f>HYPERLINK("https://klasma.github.io/Logging_1270/artfynd/A 56519-2019 artfynd.xlsx", "A 56519-2019")</f>
        <v/>
      </c>
      <c r="T4">
        <f>HYPERLINK("https://klasma.github.io/Logging_1270/kartor/A 56519-2019 karta.png", "A 56519-2019")</f>
        <v/>
      </c>
      <c r="V4">
        <f>HYPERLINK("https://klasma.github.io/Logging_1270/klagomål/A 56519-2019 FSC-klagomål.docx", "A 56519-2019")</f>
        <v/>
      </c>
      <c r="W4">
        <f>HYPERLINK("https://klasma.github.io/Logging_1270/klagomålsmail/A 56519-2019 FSC-klagomål mail.docx", "A 56519-2019")</f>
        <v/>
      </c>
      <c r="X4">
        <f>HYPERLINK("https://klasma.github.io/Logging_1270/tillsyn/A 56519-2019 tillsynsbegäran.docx", "A 56519-2019")</f>
        <v/>
      </c>
      <c r="Y4">
        <f>HYPERLINK("https://klasma.github.io/Logging_1270/tillsynsmail/A 56519-2019 tillsynsbegäran mail.docx", "A 56519-2019")</f>
        <v/>
      </c>
    </row>
    <row r="5" ht="15" customHeight="1">
      <c r="A5" t="inlineStr">
        <is>
          <t>A 28124-2021</t>
        </is>
      </c>
      <c r="B5" s="1" t="n">
        <v>44355</v>
      </c>
      <c r="C5" s="1" t="n">
        <v>45585</v>
      </c>
      <c r="D5" t="inlineStr">
        <is>
          <t>SKÅNE LÄN</t>
        </is>
      </c>
      <c r="E5" t="inlineStr">
        <is>
          <t>TOMELILLA</t>
        </is>
      </c>
      <c r="F5" t="inlineStr">
        <is>
          <t>Övriga Aktiebolag</t>
        </is>
      </c>
      <c r="G5" t="n">
        <v>7.4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Bokvårtlav
Guldlockmossa</t>
        </is>
      </c>
      <c r="S5">
        <f>HYPERLINK("https://klasma.github.io/Logging_1270/artfynd/A 28124-2021 artfynd.xlsx", "A 28124-2021")</f>
        <v/>
      </c>
      <c r="T5">
        <f>HYPERLINK("https://klasma.github.io/Logging_1270/kartor/A 28124-2021 karta.png", "A 28124-2021")</f>
        <v/>
      </c>
      <c r="V5">
        <f>HYPERLINK("https://klasma.github.io/Logging_1270/klagomål/A 28124-2021 FSC-klagomål.docx", "A 28124-2021")</f>
        <v/>
      </c>
      <c r="W5">
        <f>HYPERLINK("https://klasma.github.io/Logging_1270/klagomålsmail/A 28124-2021 FSC-klagomål mail.docx", "A 28124-2021")</f>
        <v/>
      </c>
      <c r="X5">
        <f>HYPERLINK("https://klasma.github.io/Logging_1270/tillsyn/A 28124-2021 tillsynsbegäran.docx", "A 28124-2021")</f>
        <v/>
      </c>
      <c r="Y5">
        <f>HYPERLINK("https://klasma.github.io/Logging_1270/tillsynsmail/A 28124-2021 tillsynsbegäran mail.docx", "A 28124-2021")</f>
        <v/>
      </c>
    </row>
    <row r="6" ht="15" customHeight="1">
      <c r="A6" t="inlineStr">
        <is>
          <t>A 8188-2024</t>
        </is>
      </c>
      <c r="B6" s="1" t="n">
        <v>45338</v>
      </c>
      <c r="C6" s="1" t="n">
        <v>45585</v>
      </c>
      <c r="D6" t="inlineStr">
        <is>
          <t>SKÅNE LÄN</t>
        </is>
      </c>
      <c r="E6" t="inlineStr">
        <is>
          <t>TOMELILLA</t>
        </is>
      </c>
      <c r="F6" t="inlineStr">
        <is>
          <t>Kyrkan</t>
        </is>
      </c>
      <c r="G6" t="n">
        <v>4.7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Krusfrö
Kransrams</t>
        </is>
      </c>
      <c r="S6">
        <f>HYPERLINK("https://klasma.github.io/Logging_1270/artfynd/A 8188-2024 artfynd.xlsx", "A 8188-2024")</f>
        <v/>
      </c>
      <c r="T6">
        <f>HYPERLINK("https://klasma.github.io/Logging_1270/kartor/A 8188-2024 karta.png", "A 8188-2024")</f>
        <v/>
      </c>
      <c r="V6">
        <f>HYPERLINK("https://klasma.github.io/Logging_1270/klagomål/A 8188-2024 FSC-klagomål.docx", "A 8188-2024")</f>
        <v/>
      </c>
      <c r="W6">
        <f>HYPERLINK("https://klasma.github.io/Logging_1270/klagomålsmail/A 8188-2024 FSC-klagomål mail.docx", "A 8188-2024")</f>
        <v/>
      </c>
      <c r="X6">
        <f>HYPERLINK("https://klasma.github.io/Logging_1270/tillsyn/A 8188-2024 tillsynsbegäran.docx", "A 8188-2024")</f>
        <v/>
      </c>
      <c r="Y6">
        <f>HYPERLINK("https://klasma.github.io/Logging_1270/tillsynsmail/A 8188-2024 tillsynsbegäran mail.docx", "A 8188-2024")</f>
        <v/>
      </c>
    </row>
    <row r="7" ht="15" customHeight="1">
      <c r="A7" t="inlineStr">
        <is>
          <t>A 11722-2020</t>
        </is>
      </c>
      <c r="B7" s="1" t="n">
        <v>43892</v>
      </c>
      <c r="C7" s="1" t="n">
        <v>45585</v>
      </c>
      <c r="D7" t="inlineStr">
        <is>
          <t>SKÅNE LÄN</t>
        </is>
      </c>
      <c r="E7" t="inlineStr">
        <is>
          <t>TOMELILLA</t>
        </is>
      </c>
      <c r="G7" t="n">
        <v>2.6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Sprengelsbjörnbär</t>
        </is>
      </c>
      <c r="S7">
        <f>HYPERLINK("https://klasma.github.io/Logging_1270/artfynd/A 11722-2020 artfynd.xlsx", "A 11722-2020")</f>
        <v/>
      </c>
      <c r="T7">
        <f>HYPERLINK("https://klasma.github.io/Logging_1270/kartor/A 11722-2020 karta.png", "A 11722-2020")</f>
        <v/>
      </c>
      <c r="V7">
        <f>HYPERLINK("https://klasma.github.io/Logging_1270/klagomål/A 11722-2020 FSC-klagomål.docx", "A 11722-2020")</f>
        <v/>
      </c>
      <c r="W7">
        <f>HYPERLINK("https://klasma.github.io/Logging_1270/klagomålsmail/A 11722-2020 FSC-klagomål mail.docx", "A 11722-2020")</f>
        <v/>
      </c>
      <c r="X7">
        <f>HYPERLINK("https://klasma.github.io/Logging_1270/tillsyn/A 11722-2020 tillsynsbegäran.docx", "A 11722-2020")</f>
        <v/>
      </c>
      <c r="Y7">
        <f>HYPERLINK("https://klasma.github.io/Logging_1270/tillsynsmail/A 11722-2020 tillsynsbegäran mail.docx", "A 11722-2020")</f>
        <v/>
      </c>
    </row>
    <row r="8" ht="15" customHeight="1">
      <c r="A8" t="inlineStr">
        <is>
          <t>A 17496-2020</t>
        </is>
      </c>
      <c r="B8" s="1" t="n">
        <v>43923</v>
      </c>
      <c r="C8" s="1" t="n">
        <v>45585</v>
      </c>
      <c r="D8" t="inlineStr">
        <is>
          <t>SKÅNE LÄN</t>
        </is>
      </c>
      <c r="E8" t="inlineStr">
        <is>
          <t>TOMELILLA</t>
        </is>
      </c>
      <c r="F8" t="inlineStr">
        <is>
          <t>Övriga Aktiebolag</t>
        </is>
      </c>
      <c r="G8" t="n">
        <v>1.9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Hasselmus</t>
        </is>
      </c>
      <c r="S8">
        <f>HYPERLINK("https://klasma.github.io/Logging_1270/artfynd/A 17496-2020 artfynd.xlsx", "A 17496-2020")</f>
        <v/>
      </c>
      <c r="T8">
        <f>HYPERLINK("https://klasma.github.io/Logging_1270/kartor/A 17496-2020 karta.png", "A 17496-2020")</f>
        <v/>
      </c>
      <c r="V8">
        <f>HYPERLINK("https://klasma.github.io/Logging_1270/klagomål/A 17496-2020 FSC-klagomål.docx", "A 17496-2020")</f>
        <v/>
      </c>
      <c r="W8">
        <f>HYPERLINK("https://klasma.github.io/Logging_1270/klagomålsmail/A 17496-2020 FSC-klagomål mail.docx", "A 17496-2020")</f>
        <v/>
      </c>
      <c r="X8">
        <f>HYPERLINK("https://klasma.github.io/Logging_1270/tillsyn/A 17496-2020 tillsynsbegäran.docx", "A 17496-2020")</f>
        <v/>
      </c>
      <c r="Y8">
        <f>HYPERLINK("https://klasma.github.io/Logging_1270/tillsynsmail/A 17496-2020 tillsynsbegäran mail.docx", "A 17496-2020")</f>
        <v/>
      </c>
    </row>
    <row r="9" ht="15" customHeight="1">
      <c r="A9" t="inlineStr">
        <is>
          <t>A 23466-2022</t>
        </is>
      </c>
      <c r="B9" s="1" t="n">
        <v>44721</v>
      </c>
      <c r="C9" s="1" t="n">
        <v>45585</v>
      </c>
      <c r="D9" t="inlineStr">
        <is>
          <t>SKÅNE LÄN</t>
        </is>
      </c>
      <c r="E9" t="inlineStr">
        <is>
          <t>TOMELILLA</t>
        </is>
      </c>
      <c r="F9" t="inlineStr">
        <is>
          <t>Övriga Aktiebolag</t>
        </is>
      </c>
      <c r="G9" t="n">
        <v>6.3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Skogslysing</t>
        </is>
      </c>
      <c r="S9">
        <f>HYPERLINK("https://klasma.github.io/Logging_1270/artfynd/A 23466-2022 artfynd.xlsx", "A 23466-2022")</f>
        <v/>
      </c>
      <c r="T9">
        <f>HYPERLINK("https://klasma.github.io/Logging_1270/kartor/A 23466-2022 karta.png", "A 23466-2022")</f>
        <v/>
      </c>
      <c r="V9">
        <f>HYPERLINK("https://klasma.github.io/Logging_1270/klagomål/A 23466-2022 FSC-klagomål.docx", "A 23466-2022")</f>
        <v/>
      </c>
      <c r="W9">
        <f>HYPERLINK("https://klasma.github.io/Logging_1270/klagomålsmail/A 23466-2022 FSC-klagomål mail.docx", "A 23466-2022")</f>
        <v/>
      </c>
      <c r="X9">
        <f>HYPERLINK("https://klasma.github.io/Logging_1270/tillsyn/A 23466-2022 tillsynsbegäran.docx", "A 23466-2022")</f>
        <v/>
      </c>
      <c r="Y9">
        <f>HYPERLINK("https://klasma.github.io/Logging_1270/tillsynsmail/A 23466-2022 tillsynsbegäran mail.docx", "A 23466-2022")</f>
        <v/>
      </c>
    </row>
    <row r="10" ht="15" customHeight="1">
      <c r="A10" t="inlineStr">
        <is>
          <t>A 60820-2023</t>
        </is>
      </c>
      <c r="B10" s="1" t="n">
        <v>45260</v>
      </c>
      <c r="C10" s="1" t="n">
        <v>45585</v>
      </c>
      <c r="D10" t="inlineStr">
        <is>
          <t>SKÅNE LÄN</t>
        </is>
      </c>
      <c r="E10" t="inlineStr">
        <is>
          <t>TOMELILLA</t>
        </is>
      </c>
      <c r="G10" t="n">
        <v>4.6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Guldlockmossa</t>
        </is>
      </c>
      <c r="S10">
        <f>HYPERLINK("https://klasma.github.io/Logging_1270/artfynd/A 60820-2023 artfynd.xlsx", "A 60820-2023")</f>
        <v/>
      </c>
      <c r="T10">
        <f>HYPERLINK("https://klasma.github.io/Logging_1270/kartor/A 60820-2023 karta.png", "A 60820-2023")</f>
        <v/>
      </c>
      <c r="V10">
        <f>HYPERLINK("https://klasma.github.io/Logging_1270/klagomål/A 60820-2023 FSC-klagomål.docx", "A 60820-2023")</f>
        <v/>
      </c>
      <c r="W10">
        <f>HYPERLINK("https://klasma.github.io/Logging_1270/klagomålsmail/A 60820-2023 FSC-klagomål mail.docx", "A 60820-2023")</f>
        <v/>
      </c>
      <c r="X10">
        <f>HYPERLINK("https://klasma.github.io/Logging_1270/tillsyn/A 60820-2023 tillsynsbegäran.docx", "A 60820-2023")</f>
        <v/>
      </c>
      <c r="Y10">
        <f>HYPERLINK("https://klasma.github.io/Logging_1270/tillsynsmail/A 60820-2023 tillsynsbegäran mail.docx", "A 60820-2023")</f>
        <v/>
      </c>
    </row>
    <row r="11" ht="15" customHeight="1">
      <c r="A11" t="inlineStr">
        <is>
          <t>A 561-2024</t>
        </is>
      </c>
      <c r="B11" s="1" t="n">
        <v>45299</v>
      </c>
      <c r="C11" s="1" t="n">
        <v>45585</v>
      </c>
      <c r="D11" t="inlineStr">
        <is>
          <t>SKÅNE LÄN</t>
        </is>
      </c>
      <c r="E11" t="inlineStr">
        <is>
          <t>TOMELILLA</t>
        </is>
      </c>
      <c r="F11" t="inlineStr">
        <is>
          <t>Övriga Aktiebolag</t>
        </is>
      </c>
      <c r="G11" t="n">
        <v>22.1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snok</t>
        </is>
      </c>
      <c r="S11">
        <f>HYPERLINK("https://klasma.github.io/Logging_1270/artfynd/A 561-2024 artfynd.xlsx", "A 561-2024")</f>
        <v/>
      </c>
      <c r="T11">
        <f>HYPERLINK("https://klasma.github.io/Logging_1270/kartor/A 561-2024 karta.png", "A 561-2024")</f>
        <v/>
      </c>
      <c r="V11">
        <f>HYPERLINK("https://klasma.github.io/Logging_1270/klagomål/A 561-2024 FSC-klagomål.docx", "A 561-2024")</f>
        <v/>
      </c>
      <c r="W11">
        <f>HYPERLINK("https://klasma.github.io/Logging_1270/klagomålsmail/A 561-2024 FSC-klagomål mail.docx", "A 561-2024")</f>
        <v/>
      </c>
      <c r="X11">
        <f>HYPERLINK("https://klasma.github.io/Logging_1270/tillsyn/A 561-2024 tillsynsbegäran.docx", "A 561-2024")</f>
        <v/>
      </c>
      <c r="Y11">
        <f>HYPERLINK("https://klasma.github.io/Logging_1270/tillsynsmail/A 561-2024 tillsynsbegäran mail.docx", "A 561-2024")</f>
        <v/>
      </c>
    </row>
    <row r="12" ht="15" customHeight="1">
      <c r="A12" t="inlineStr">
        <is>
          <t>A 756-2024</t>
        </is>
      </c>
      <c r="B12" s="1" t="n">
        <v>45300</v>
      </c>
      <c r="C12" s="1" t="n">
        <v>45585</v>
      </c>
      <c r="D12" t="inlineStr">
        <is>
          <t>SKÅNE LÄN</t>
        </is>
      </c>
      <c r="E12" t="inlineStr">
        <is>
          <t>TOMELILLA</t>
        </is>
      </c>
      <c r="F12" t="inlineStr">
        <is>
          <t>Övriga Aktiebolag</t>
        </is>
      </c>
      <c r="G12" t="n">
        <v>13.1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Borsttåg</t>
        </is>
      </c>
      <c r="S12">
        <f>HYPERLINK("https://klasma.github.io/Logging_1270/artfynd/A 756-2024 artfynd.xlsx", "A 756-2024")</f>
        <v/>
      </c>
      <c r="T12">
        <f>HYPERLINK("https://klasma.github.io/Logging_1270/kartor/A 756-2024 karta.png", "A 756-2024")</f>
        <v/>
      </c>
      <c r="V12">
        <f>HYPERLINK("https://klasma.github.io/Logging_1270/klagomål/A 756-2024 FSC-klagomål.docx", "A 756-2024")</f>
        <v/>
      </c>
      <c r="W12">
        <f>HYPERLINK("https://klasma.github.io/Logging_1270/klagomålsmail/A 756-2024 FSC-klagomål mail.docx", "A 756-2024")</f>
        <v/>
      </c>
      <c r="X12">
        <f>HYPERLINK("https://klasma.github.io/Logging_1270/tillsyn/A 756-2024 tillsynsbegäran.docx", "A 756-2024")</f>
        <v/>
      </c>
      <c r="Y12">
        <f>HYPERLINK("https://klasma.github.io/Logging_1270/tillsynsmail/A 756-2024 tillsynsbegäran mail.docx", "A 756-2024")</f>
        <v/>
      </c>
    </row>
    <row r="13" ht="15" customHeight="1">
      <c r="A13" t="inlineStr">
        <is>
          <t>A 2018-2024</t>
        </is>
      </c>
      <c r="B13" s="1" t="n">
        <v>45308</v>
      </c>
      <c r="C13" s="1" t="n">
        <v>45585</v>
      </c>
      <c r="D13" t="inlineStr">
        <is>
          <t>SKÅNE LÄN</t>
        </is>
      </c>
      <c r="E13" t="inlineStr">
        <is>
          <t>TOMELILLA</t>
        </is>
      </c>
      <c r="G13" t="n">
        <v>17.2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Åkerkulla</t>
        </is>
      </c>
      <c r="S13">
        <f>HYPERLINK("https://klasma.github.io/Logging_1270/artfynd/A 2018-2024 artfynd.xlsx", "A 2018-2024")</f>
        <v/>
      </c>
      <c r="T13">
        <f>HYPERLINK("https://klasma.github.io/Logging_1270/kartor/A 2018-2024 karta.png", "A 2018-2024")</f>
        <v/>
      </c>
      <c r="V13">
        <f>HYPERLINK("https://klasma.github.io/Logging_1270/klagomål/A 2018-2024 FSC-klagomål.docx", "A 2018-2024")</f>
        <v/>
      </c>
      <c r="W13">
        <f>HYPERLINK("https://klasma.github.io/Logging_1270/klagomålsmail/A 2018-2024 FSC-klagomål mail.docx", "A 2018-2024")</f>
        <v/>
      </c>
      <c r="X13">
        <f>HYPERLINK("https://klasma.github.io/Logging_1270/tillsyn/A 2018-2024 tillsynsbegäran.docx", "A 2018-2024")</f>
        <v/>
      </c>
      <c r="Y13">
        <f>HYPERLINK("https://klasma.github.io/Logging_1270/tillsynsmail/A 2018-2024 tillsynsbegäran mail.docx", "A 2018-2024")</f>
        <v/>
      </c>
    </row>
    <row r="14" ht="15" customHeight="1">
      <c r="A14" t="inlineStr">
        <is>
          <t>A 12934-2024</t>
        </is>
      </c>
      <c r="B14" s="1" t="n">
        <v>45385</v>
      </c>
      <c r="C14" s="1" t="n">
        <v>45585</v>
      </c>
      <c r="D14" t="inlineStr">
        <is>
          <t>SKÅNE LÄN</t>
        </is>
      </c>
      <c r="E14" t="inlineStr">
        <is>
          <t>TOMELILLA</t>
        </is>
      </c>
      <c r="F14" t="inlineStr">
        <is>
          <t>Övriga Aktiebolag</t>
        </is>
      </c>
      <c r="G14" t="n">
        <v>22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bastardsvärmare</t>
        </is>
      </c>
      <c r="S14">
        <f>HYPERLINK("https://klasma.github.io/Logging_1270/artfynd/A 12934-2024 artfynd.xlsx", "A 12934-2024")</f>
        <v/>
      </c>
      <c r="T14">
        <f>HYPERLINK("https://klasma.github.io/Logging_1270/kartor/A 12934-2024 karta.png", "A 12934-2024")</f>
        <v/>
      </c>
      <c r="V14">
        <f>HYPERLINK("https://klasma.github.io/Logging_1270/klagomål/A 12934-2024 FSC-klagomål.docx", "A 12934-2024")</f>
        <v/>
      </c>
      <c r="W14">
        <f>HYPERLINK("https://klasma.github.io/Logging_1270/klagomålsmail/A 12934-2024 FSC-klagomål mail.docx", "A 12934-2024")</f>
        <v/>
      </c>
      <c r="X14">
        <f>HYPERLINK("https://klasma.github.io/Logging_1270/tillsyn/A 12934-2024 tillsynsbegäran.docx", "A 12934-2024")</f>
        <v/>
      </c>
      <c r="Y14">
        <f>HYPERLINK("https://klasma.github.io/Logging_1270/tillsynsmail/A 12934-2024 tillsynsbegäran mail.docx", "A 12934-2024")</f>
        <v/>
      </c>
    </row>
    <row r="15" ht="15" customHeight="1">
      <c r="A15" t="inlineStr">
        <is>
          <t>A 26916-2019</t>
        </is>
      </c>
      <c r="B15" s="1" t="n">
        <v>43609</v>
      </c>
      <c r="C15" s="1" t="n">
        <v>45585</v>
      </c>
      <c r="D15" t="inlineStr">
        <is>
          <t>SKÅNE LÄN</t>
        </is>
      </c>
      <c r="E15" t="inlineStr">
        <is>
          <t>TOMELILLA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26661-2019</t>
        </is>
      </c>
      <c r="B16" s="1" t="n">
        <v>43613</v>
      </c>
      <c r="C16" s="1" t="n">
        <v>45585</v>
      </c>
      <c r="D16" t="inlineStr">
        <is>
          <t>SKÅNE LÄN</t>
        </is>
      </c>
      <c r="E16" t="inlineStr">
        <is>
          <t>TOMELILLA</t>
        </is>
      </c>
      <c r="F16" t="inlineStr">
        <is>
          <t>Övriga Aktiebolag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28655-2019</t>
        </is>
      </c>
      <c r="B17" s="1" t="n">
        <v>43614</v>
      </c>
      <c r="C17" s="1" t="n">
        <v>45585</v>
      </c>
      <c r="D17" t="inlineStr">
        <is>
          <t>SKÅNE LÄN</t>
        </is>
      </c>
      <c r="E17" t="inlineStr">
        <is>
          <t>TOMELILLA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29577-2019</t>
        </is>
      </c>
      <c r="B18" s="1" t="n">
        <v>43630</v>
      </c>
      <c r="C18" s="1" t="n">
        <v>45585</v>
      </c>
      <c r="D18" t="inlineStr">
        <is>
          <t>SKÅNE LÄN</t>
        </is>
      </c>
      <c r="E18" t="inlineStr">
        <is>
          <t>TOMELILLA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29799-2019</t>
        </is>
      </c>
      <c r="B19" s="1" t="n">
        <v>43633</v>
      </c>
      <c r="C19" s="1" t="n">
        <v>45585</v>
      </c>
      <c r="D19" t="inlineStr">
        <is>
          <t>SKÅNE LÄN</t>
        </is>
      </c>
      <c r="E19" t="inlineStr">
        <is>
          <t>TOMELILLA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39212-2019</t>
        </is>
      </c>
      <c r="B20" s="1" t="n">
        <v>43686</v>
      </c>
      <c r="C20" s="1" t="n">
        <v>45585</v>
      </c>
      <c r="D20" t="inlineStr">
        <is>
          <t>SKÅNE LÄN</t>
        </is>
      </c>
      <c r="E20" t="inlineStr">
        <is>
          <t>TOMELILLA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39884-2019</t>
        </is>
      </c>
      <c r="B21" s="1" t="n">
        <v>43692</v>
      </c>
      <c r="C21" s="1" t="n">
        <v>45585</v>
      </c>
      <c r="D21" t="inlineStr">
        <is>
          <t>SKÅNE LÄN</t>
        </is>
      </c>
      <c r="E21" t="inlineStr">
        <is>
          <t>TOMELILLA</t>
        </is>
      </c>
      <c r="F21" t="inlineStr">
        <is>
          <t>Övriga Aktiebolag</t>
        </is>
      </c>
      <c r="G21" t="n">
        <v>5.8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45617-2019</t>
        </is>
      </c>
      <c r="B22" s="1" t="n">
        <v>43717</v>
      </c>
      <c r="C22" s="1" t="n">
        <v>45585</v>
      </c>
      <c r="D22" t="inlineStr">
        <is>
          <t>SKÅNE LÄN</t>
        </is>
      </c>
      <c r="E22" t="inlineStr">
        <is>
          <t>TOMELILLA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46097-2019</t>
        </is>
      </c>
      <c r="B23" s="1" t="n">
        <v>43718</v>
      </c>
      <c r="C23" s="1" t="n">
        <v>45585</v>
      </c>
      <c r="D23" t="inlineStr">
        <is>
          <t>SKÅNE LÄN</t>
        </is>
      </c>
      <c r="E23" t="inlineStr">
        <is>
          <t>TOMELILLA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8579-2020</t>
        </is>
      </c>
      <c r="B24" s="1" t="n">
        <v>43875</v>
      </c>
      <c r="C24" s="1" t="n">
        <v>45585</v>
      </c>
      <c r="D24" t="inlineStr">
        <is>
          <t>SKÅNE LÄN</t>
        </is>
      </c>
      <c r="E24" t="inlineStr">
        <is>
          <t>TOMELILLA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18516-2020</t>
        </is>
      </c>
      <c r="B25" s="1" t="n">
        <v>43929</v>
      </c>
      <c r="C25" s="1" t="n">
        <v>45585</v>
      </c>
      <c r="D25" t="inlineStr">
        <is>
          <t>SKÅNE LÄN</t>
        </is>
      </c>
      <c r="E25" t="inlineStr">
        <is>
          <t>TOMELILLA</t>
        </is>
      </c>
      <c r="F25" t="inlineStr">
        <is>
          <t>Övriga Aktiebolag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20948-2020</t>
        </is>
      </c>
      <c r="B26" s="1" t="n">
        <v>43949</v>
      </c>
      <c r="C26" s="1" t="n">
        <v>45585</v>
      </c>
      <c r="D26" t="inlineStr">
        <is>
          <t>SKÅNE LÄN</t>
        </is>
      </c>
      <c r="E26" t="inlineStr">
        <is>
          <t>TOMELILLA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23513-2020</t>
        </is>
      </c>
      <c r="B27" s="1" t="n">
        <v>43969</v>
      </c>
      <c r="C27" s="1" t="n">
        <v>45585</v>
      </c>
      <c r="D27" t="inlineStr">
        <is>
          <t>SKÅNE LÄN</t>
        </is>
      </c>
      <c r="E27" t="inlineStr">
        <is>
          <t>TOMELILLA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25171-2020</t>
        </is>
      </c>
      <c r="B28" s="1" t="n">
        <v>43978</v>
      </c>
      <c r="C28" s="1" t="n">
        <v>45585</v>
      </c>
      <c r="D28" t="inlineStr">
        <is>
          <t>SKÅNE LÄN</t>
        </is>
      </c>
      <c r="E28" t="inlineStr">
        <is>
          <t>TOMELILLA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24991-2020</t>
        </is>
      </c>
      <c r="B29" s="1" t="n">
        <v>43978</v>
      </c>
      <c r="C29" s="1" t="n">
        <v>45585</v>
      </c>
      <c r="D29" t="inlineStr">
        <is>
          <t>SKÅNE LÄN</t>
        </is>
      </c>
      <c r="E29" t="inlineStr">
        <is>
          <t>TOMELILLA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28338-2020</t>
        </is>
      </c>
      <c r="B30" s="1" t="n">
        <v>43998</v>
      </c>
      <c r="C30" s="1" t="n">
        <v>45585</v>
      </c>
      <c r="D30" t="inlineStr">
        <is>
          <t>SKÅNE LÄN</t>
        </is>
      </c>
      <c r="E30" t="inlineStr">
        <is>
          <t>TOMELILLA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30515-2020</t>
        </is>
      </c>
      <c r="B31" s="1" t="n">
        <v>44008</v>
      </c>
      <c r="C31" s="1" t="n">
        <v>45585</v>
      </c>
      <c r="D31" t="inlineStr">
        <is>
          <t>SKÅNE LÄN</t>
        </is>
      </c>
      <c r="E31" t="inlineStr">
        <is>
          <t>TOMELILLA</t>
        </is>
      </c>
      <c r="F31" t="inlineStr">
        <is>
          <t>Övriga Aktiebolag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31165-2020</t>
        </is>
      </c>
      <c r="B32" s="1" t="n">
        <v>44011</v>
      </c>
      <c r="C32" s="1" t="n">
        <v>45585</v>
      </c>
      <c r="D32" t="inlineStr">
        <is>
          <t>SKÅNE LÄN</t>
        </is>
      </c>
      <c r="E32" t="inlineStr">
        <is>
          <t>TOMELILLA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31172-2020</t>
        </is>
      </c>
      <c r="B33" s="1" t="n">
        <v>44011</v>
      </c>
      <c r="C33" s="1" t="n">
        <v>45585</v>
      </c>
      <c r="D33" t="inlineStr">
        <is>
          <t>SKÅNE LÄN</t>
        </is>
      </c>
      <c r="E33" t="inlineStr">
        <is>
          <t>TOMELILLA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52023-2020</t>
        </is>
      </c>
      <c r="B34" s="1" t="n">
        <v>44116</v>
      </c>
      <c r="C34" s="1" t="n">
        <v>45585</v>
      </c>
      <c r="D34" t="inlineStr">
        <is>
          <t>SKÅNE LÄN</t>
        </is>
      </c>
      <c r="E34" t="inlineStr">
        <is>
          <t>TOMELILLA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52496-2020</t>
        </is>
      </c>
      <c r="B35" s="1" t="n">
        <v>44116</v>
      </c>
      <c r="C35" s="1" t="n">
        <v>45585</v>
      </c>
      <c r="D35" t="inlineStr">
        <is>
          <t>SKÅNE LÄN</t>
        </is>
      </c>
      <c r="E35" t="inlineStr">
        <is>
          <t>TOMELILLA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56462-2020</t>
        </is>
      </c>
      <c r="B36" s="1" t="n">
        <v>44133</v>
      </c>
      <c r="C36" s="1" t="n">
        <v>45585</v>
      </c>
      <c r="D36" t="inlineStr">
        <is>
          <t>SKÅNE LÄN</t>
        </is>
      </c>
      <c r="E36" t="inlineStr">
        <is>
          <t>TOMELILLA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65033-2020</t>
        </is>
      </c>
      <c r="B37" s="1" t="n">
        <v>44172</v>
      </c>
      <c r="C37" s="1" t="n">
        <v>45585</v>
      </c>
      <c r="D37" t="inlineStr">
        <is>
          <t>SKÅNE LÄN</t>
        </is>
      </c>
      <c r="E37" t="inlineStr">
        <is>
          <t>TOMELILLA</t>
        </is>
      </c>
      <c r="F37" t="inlineStr">
        <is>
          <t>Kyrkan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66045-2020</t>
        </is>
      </c>
      <c r="B38" s="1" t="n">
        <v>44175</v>
      </c>
      <c r="C38" s="1" t="n">
        <v>45585</v>
      </c>
      <c r="D38" t="inlineStr">
        <is>
          <t>SKÅNE LÄN</t>
        </is>
      </c>
      <c r="E38" t="inlineStr">
        <is>
          <t>TOMELILLA</t>
        </is>
      </c>
      <c r="F38" t="inlineStr">
        <is>
          <t>Kyrkan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1428-2021</t>
        </is>
      </c>
      <c r="B39" s="1" t="n">
        <v>44208</v>
      </c>
      <c r="C39" s="1" t="n">
        <v>45585</v>
      </c>
      <c r="D39" t="inlineStr">
        <is>
          <t>SKÅNE LÄN</t>
        </is>
      </c>
      <c r="E39" t="inlineStr">
        <is>
          <t>TOMELILLA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9238-2021</t>
        </is>
      </c>
      <c r="B40" s="1" t="n">
        <v>44250</v>
      </c>
      <c r="C40" s="1" t="n">
        <v>45585</v>
      </c>
      <c r="D40" t="inlineStr">
        <is>
          <t>SKÅNE LÄN</t>
        </is>
      </c>
      <c r="E40" t="inlineStr">
        <is>
          <t>TOMELILLA</t>
        </is>
      </c>
      <c r="F40" t="inlineStr">
        <is>
          <t>Övriga Aktiebolag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9180-2021</t>
        </is>
      </c>
      <c r="B41" s="1" t="n">
        <v>44250</v>
      </c>
      <c r="C41" s="1" t="n">
        <v>45585</v>
      </c>
      <c r="D41" t="inlineStr">
        <is>
          <t>SKÅNE LÄN</t>
        </is>
      </c>
      <c r="E41" t="inlineStr">
        <is>
          <t>TOMELILLA</t>
        </is>
      </c>
      <c r="F41" t="inlineStr">
        <is>
          <t>Övriga Aktiebolag</t>
        </is>
      </c>
      <c r="G41" t="n">
        <v>11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9510-2021</t>
        </is>
      </c>
      <c r="B42" s="1" t="n">
        <v>44251</v>
      </c>
      <c r="C42" s="1" t="n">
        <v>45585</v>
      </c>
      <c r="D42" t="inlineStr">
        <is>
          <t>SKÅNE LÄN</t>
        </is>
      </c>
      <c r="E42" t="inlineStr">
        <is>
          <t>TOMELILLA</t>
        </is>
      </c>
      <c r="F42" t="inlineStr">
        <is>
          <t>Övriga Aktiebolag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11919-2021</t>
        </is>
      </c>
      <c r="B43" s="1" t="n">
        <v>44266</v>
      </c>
      <c r="C43" s="1" t="n">
        <v>45585</v>
      </c>
      <c r="D43" t="inlineStr">
        <is>
          <t>SKÅNE LÄN</t>
        </is>
      </c>
      <c r="E43" t="inlineStr">
        <is>
          <t>TOMELILLA</t>
        </is>
      </c>
      <c r="F43" t="inlineStr">
        <is>
          <t>Övriga Aktiebolag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13208-2021</t>
        </is>
      </c>
      <c r="B44" s="1" t="n">
        <v>44272</v>
      </c>
      <c r="C44" s="1" t="n">
        <v>45585</v>
      </c>
      <c r="D44" t="inlineStr">
        <is>
          <t>SKÅNE LÄN</t>
        </is>
      </c>
      <c r="E44" t="inlineStr">
        <is>
          <t>TOMELILLA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15288-2021</t>
        </is>
      </c>
      <c r="B45" s="1" t="n">
        <v>44284</v>
      </c>
      <c r="C45" s="1" t="n">
        <v>45585</v>
      </c>
      <c r="D45" t="inlineStr">
        <is>
          <t>SKÅNE LÄN</t>
        </is>
      </c>
      <c r="E45" t="inlineStr">
        <is>
          <t>TOMELILLA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17205-2021</t>
        </is>
      </c>
      <c r="B46" s="1" t="n">
        <v>44298</v>
      </c>
      <c r="C46" s="1" t="n">
        <v>45585</v>
      </c>
      <c r="D46" t="inlineStr">
        <is>
          <t>SKÅNE LÄN</t>
        </is>
      </c>
      <c r="E46" t="inlineStr">
        <is>
          <t>TOMELILLA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18472-2021</t>
        </is>
      </c>
      <c r="B47" s="1" t="n">
        <v>44306</v>
      </c>
      <c r="C47" s="1" t="n">
        <v>45585</v>
      </c>
      <c r="D47" t="inlineStr">
        <is>
          <t>SKÅNE LÄN</t>
        </is>
      </c>
      <c r="E47" t="inlineStr">
        <is>
          <t>TOMELILLA</t>
        </is>
      </c>
      <c r="F47" t="inlineStr">
        <is>
          <t>Övriga Aktiebolag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21245-2021</t>
        </is>
      </c>
      <c r="B48" s="1" t="n">
        <v>44320</v>
      </c>
      <c r="C48" s="1" t="n">
        <v>45585</v>
      </c>
      <c r="D48" t="inlineStr">
        <is>
          <t>SKÅNE LÄN</t>
        </is>
      </c>
      <c r="E48" t="inlineStr">
        <is>
          <t>TOMELILLA</t>
        </is>
      </c>
      <c r="F48" t="inlineStr">
        <is>
          <t>Övriga Aktiebolag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25899-2021</t>
        </is>
      </c>
      <c r="B49" s="1" t="n">
        <v>44344</v>
      </c>
      <c r="C49" s="1" t="n">
        <v>45585</v>
      </c>
      <c r="D49" t="inlineStr">
        <is>
          <t>SKÅNE LÄN</t>
        </is>
      </c>
      <c r="E49" t="inlineStr">
        <is>
          <t>TOMELILLA</t>
        </is>
      </c>
      <c r="F49" t="inlineStr">
        <is>
          <t>Övriga Aktiebolag</t>
        </is>
      </c>
      <c r="G49" t="n">
        <v>14.8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28131-2021</t>
        </is>
      </c>
      <c r="B50" s="1" t="n">
        <v>44355</v>
      </c>
      <c r="C50" s="1" t="n">
        <v>45585</v>
      </c>
      <c r="D50" t="inlineStr">
        <is>
          <t>SKÅNE LÄN</t>
        </is>
      </c>
      <c r="E50" t="inlineStr">
        <is>
          <t>TOMELILLA</t>
        </is>
      </c>
      <c r="F50" t="inlineStr">
        <is>
          <t>Övriga Aktiebolag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35142-2021</t>
        </is>
      </c>
      <c r="B51" s="1" t="n">
        <v>44384</v>
      </c>
      <c r="C51" s="1" t="n">
        <v>45585</v>
      </c>
      <c r="D51" t="inlineStr">
        <is>
          <t>SKÅNE LÄN</t>
        </is>
      </c>
      <c r="E51" t="inlineStr">
        <is>
          <t>TOMELILLA</t>
        </is>
      </c>
      <c r="F51" t="inlineStr">
        <is>
          <t>Övriga Aktiebolag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35140-2021</t>
        </is>
      </c>
      <c r="B52" s="1" t="n">
        <v>44384</v>
      </c>
      <c r="C52" s="1" t="n">
        <v>45585</v>
      </c>
      <c r="D52" t="inlineStr">
        <is>
          <t>SKÅNE LÄN</t>
        </is>
      </c>
      <c r="E52" t="inlineStr">
        <is>
          <t>TOMELILLA</t>
        </is>
      </c>
      <c r="F52" t="inlineStr">
        <is>
          <t>Övriga Aktiebolag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35133-2021</t>
        </is>
      </c>
      <c r="B53" s="1" t="n">
        <v>44384</v>
      </c>
      <c r="C53" s="1" t="n">
        <v>45585</v>
      </c>
      <c r="D53" t="inlineStr">
        <is>
          <t>SKÅNE LÄN</t>
        </is>
      </c>
      <c r="E53" t="inlineStr">
        <is>
          <t>TOMELILLA</t>
        </is>
      </c>
      <c r="F53" t="inlineStr">
        <is>
          <t>Övriga Aktiebolag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59131-2021</t>
        </is>
      </c>
      <c r="B54" s="1" t="n">
        <v>44490</v>
      </c>
      <c r="C54" s="1" t="n">
        <v>45585</v>
      </c>
      <c r="D54" t="inlineStr">
        <is>
          <t>SKÅNE LÄN</t>
        </is>
      </c>
      <c r="E54" t="inlineStr">
        <is>
          <t>TOMELILLA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74408-2021</t>
        </is>
      </c>
      <c r="B55" s="1" t="n">
        <v>44560</v>
      </c>
      <c r="C55" s="1" t="n">
        <v>45585</v>
      </c>
      <c r="D55" t="inlineStr">
        <is>
          <t>SKÅNE LÄN</t>
        </is>
      </c>
      <c r="E55" t="inlineStr">
        <is>
          <t>TOMELILLA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2193-2022</t>
        </is>
      </c>
      <c r="B56" s="1" t="n">
        <v>44578</v>
      </c>
      <c r="C56" s="1" t="n">
        <v>45585</v>
      </c>
      <c r="D56" t="inlineStr">
        <is>
          <t>SKÅNE LÄN</t>
        </is>
      </c>
      <c r="E56" t="inlineStr">
        <is>
          <t>TOMELILLA</t>
        </is>
      </c>
      <c r="F56" t="inlineStr">
        <is>
          <t>Sveaskog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2190-2022</t>
        </is>
      </c>
      <c r="B57" s="1" t="n">
        <v>44578</v>
      </c>
      <c r="C57" s="1" t="n">
        <v>45585</v>
      </c>
      <c r="D57" t="inlineStr">
        <is>
          <t>SKÅNE LÄN</t>
        </is>
      </c>
      <c r="E57" t="inlineStr">
        <is>
          <t>TOMELILLA</t>
        </is>
      </c>
      <c r="F57" t="inlineStr">
        <is>
          <t>Sveaskog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8700-2022</t>
        </is>
      </c>
      <c r="B58" s="1" t="n">
        <v>44613</v>
      </c>
      <c r="C58" s="1" t="n">
        <v>45585</v>
      </c>
      <c r="D58" t="inlineStr">
        <is>
          <t>SKÅNE LÄN</t>
        </is>
      </c>
      <c r="E58" t="inlineStr">
        <is>
          <t>TOMELILLA</t>
        </is>
      </c>
      <c r="F58" t="inlineStr">
        <is>
          <t>Övriga Aktiebolag</t>
        </is>
      </c>
      <c r="G58" t="n">
        <v>9.800000000000001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12663-2022</t>
        </is>
      </c>
      <c r="B59" s="1" t="n">
        <v>44641</v>
      </c>
      <c r="C59" s="1" t="n">
        <v>45585</v>
      </c>
      <c r="D59" t="inlineStr">
        <is>
          <t>SKÅNE LÄN</t>
        </is>
      </c>
      <c r="E59" t="inlineStr">
        <is>
          <t>TOMELILLA</t>
        </is>
      </c>
      <c r="F59" t="inlineStr">
        <is>
          <t>Övriga Aktiebolag</t>
        </is>
      </c>
      <c r="G59" t="n">
        <v>12.4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12919-2022</t>
        </is>
      </c>
      <c r="B60" s="1" t="n">
        <v>44642</v>
      </c>
      <c r="C60" s="1" t="n">
        <v>45585</v>
      </c>
      <c r="D60" t="inlineStr">
        <is>
          <t>SKÅNE LÄN</t>
        </is>
      </c>
      <c r="E60" t="inlineStr">
        <is>
          <t>TOMELILLA</t>
        </is>
      </c>
      <c r="F60" t="inlineStr">
        <is>
          <t>Övriga Aktiebolag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15197-2022</t>
        </is>
      </c>
      <c r="B61" s="1" t="n">
        <v>44658</v>
      </c>
      <c r="C61" s="1" t="n">
        <v>45585</v>
      </c>
      <c r="D61" t="inlineStr">
        <is>
          <t>SKÅNE LÄN</t>
        </is>
      </c>
      <c r="E61" t="inlineStr">
        <is>
          <t>TOMELILLA</t>
        </is>
      </c>
      <c r="F61" t="inlineStr">
        <is>
          <t>Övriga Aktiebolag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16027-2022</t>
        </is>
      </c>
      <c r="B62" s="1" t="n">
        <v>44665</v>
      </c>
      <c r="C62" s="1" t="n">
        <v>45585</v>
      </c>
      <c r="D62" t="inlineStr">
        <is>
          <t>SKÅNE LÄN</t>
        </is>
      </c>
      <c r="E62" t="inlineStr">
        <is>
          <t>TOMELILLA</t>
        </is>
      </c>
      <c r="F62" t="inlineStr">
        <is>
          <t>Övriga Aktiebolag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18158-2022</t>
        </is>
      </c>
      <c r="B63" s="1" t="n">
        <v>44684</v>
      </c>
      <c r="C63" s="1" t="n">
        <v>45585</v>
      </c>
      <c r="D63" t="inlineStr">
        <is>
          <t>SKÅNE LÄN</t>
        </is>
      </c>
      <c r="E63" t="inlineStr">
        <is>
          <t>TOMELILLA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19651-2022</t>
        </is>
      </c>
      <c r="B64" s="1" t="n">
        <v>44694</v>
      </c>
      <c r="C64" s="1" t="n">
        <v>45585</v>
      </c>
      <c r="D64" t="inlineStr">
        <is>
          <t>SKÅNE LÄN</t>
        </is>
      </c>
      <c r="E64" t="inlineStr">
        <is>
          <t>TOMELILLA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20193-2022</t>
        </is>
      </c>
      <c r="B65" s="1" t="n">
        <v>44698</v>
      </c>
      <c r="C65" s="1" t="n">
        <v>45585</v>
      </c>
      <c r="D65" t="inlineStr">
        <is>
          <t>SKÅNE LÄN</t>
        </is>
      </c>
      <c r="E65" t="inlineStr">
        <is>
          <t>TOMELILLA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23310-2022</t>
        </is>
      </c>
      <c r="B66" s="1" t="n">
        <v>44720</v>
      </c>
      <c r="C66" s="1" t="n">
        <v>45585</v>
      </c>
      <c r="D66" t="inlineStr">
        <is>
          <t>SKÅNE LÄN</t>
        </is>
      </c>
      <c r="E66" t="inlineStr">
        <is>
          <t>TOMELILLA</t>
        </is>
      </c>
      <c r="F66" t="inlineStr">
        <is>
          <t>Övriga Aktiebolag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23461-2022</t>
        </is>
      </c>
      <c r="B67" s="1" t="n">
        <v>44721</v>
      </c>
      <c r="C67" s="1" t="n">
        <v>45585</v>
      </c>
      <c r="D67" t="inlineStr">
        <is>
          <t>SKÅNE LÄN</t>
        </is>
      </c>
      <c r="E67" t="inlineStr">
        <is>
          <t>TOMELILLA</t>
        </is>
      </c>
      <c r="F67" t="inlineStr">
        <is>
          <t>Övriga Aktiebolag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28966-2022</t>
        </is>
      </c>
      <c r="B68" s="1" t="n">
        <v>44749</v>
      </c>
      <c r="C68" s="1" t="n">
        <v>45585</v>
      </c>
      <c r="D68" t="inlineStr">
        <is>
          <t>SKÅNE LÄN</t>
        </is>
      </c>
      <c r="E68" t="inlineStr">
        <is>
          <t>TOMELILLA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42387-2022</t>
        </is>
      </c>
      <c r="B69" s="1" t="n">
        <v>44830</v>
      </c>
      <c r="C69" s="1" t="n">
        <v>45585</v>
      </c>
      <c r="D69" t="inlineStr">
        <is>
          <t>SKÅNE LÄN</t>
        </is>
      </c>
      <c r="E69" t="inlineStr">
        <is>
          <t>TOMELILLA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53977-2022</t>
        </is>
      </c>
      <c r="B70" s="1" t="n">
        <v>44876</v>
      </c>
      <c r="C70" s="1" t="n">
        <v>45585</v>
      </c>
      <c r="D70" t="inlineStr">
        <is>
          <t>SKÅNE LÄN</t>
        </is>
      </c>
      <c r="E70" t="inlineStr">
        <is>
          <t>TOMELILLA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55676-2022</t>
        </is>
      </c>
      <c r="B71" s="1" t="n">
        <v>44888</v>
      </c>
      <c r="C71" s="1" t="n">
        <v>45585</v>
      </c>
      <c r="D71" t="inlineStr">
        <is>
          <t>SKÅNE LÄN</t>
        </is>
      </c>
      <c r="E71" t="inlineStr">
        <is>
          <t>TOMELILLA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58582-2022</t>
        </is>
      </c>
      <c r="B72" s="1" t="n">
        <v>44902</v>
      </c>
      <c r="C72" s="1" t="n">
        <v>45585</v>
      </c>
      <c r="D72" t="inlineStr">
        <is>
          <t>SKÅNE LÄN</t>
        </is>
      </c>
      <c r="E72" t="inlineStr">
        <is>
          <t>TOMELILLA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59528-2022</t>
        </is>
      </c>
      <c r="B73" s="1" t="n">
        <v>44907</v>
      </c>
      <c r="C73" s="1" t="n">
        <v>45585</v>
      </c>
      <c r="D73" t="inlineStr">
        <is>
          <t>SKÅNE LÄN</t>
        </is>
      </c>
      <c r="E73" t="inlineStr">
        <is>
          <t>TOMELILLA</t>
        </is>
      </c>
      <c r="F73" t="inlineStr">
        <is>
          <t>Övriga Aktiebolag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4677-2023</t>
        </is>
      </c>
      <c r="B74" s="1" t="n">
        <v>44952</v>
      </c>
      <c r="C74" s="1" t="n">
        <v>45585</v>
      </c>
      <c r="D74" t="inlineStr">
        <is>
          <t>SKÅNE LÄN</t>
        </is>
      </c>
      <c r="E74" t="inlineStr">
        <is>
          <t>TOMELILLA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10272-2023</t>
        </is>
      </c>
      <c r="B75" s="1" t="n">
        <v>44986</v>
      </c>
      <c r="C75" s="1" t="n">
        <v>45585</v>
      </c>
      <c r="D75" t="inlineStr">
        <is>
          <t>SKÅNE LÄN</t>
        </is>
      </c>
      <c r="E75" t="inlineStr">
        <is>
          <t>TOMELILLA</t>
        </is>
      </c>
      <c r="F75" t="inlineStr">
        <is>
          <t>Övriga Aktiebolag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11002-2023</t>
        </is>
      </c>
      <c r="B76" s="1" t="n">
        <v>44991</v>
      </c>
      <c r="C76" s="1" t="n">
        <v>45585</v>
      </c>
      <c r="D76" t="inlineStr">
        <is>
          <t>SKÅNE LÄN</t>
        </is>
      </c>
      <c r="E76" t="inlineStr">
        <is>
          <t>TOMELILLA</t>
        </is>
      </c>
      <c r="F76" t="inlineStr">
        <is>
          <t>Övriga Aktiebolag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12180-2023</t>
        </is>
      </c>
      <c r="B77" s="1" t="n">
        <v>44998</v>
      </c>
      <c r="C77" s="1" t="n">
        <v>45585</v>
      </c>
      <c r="D77" t="inlineStr">
        <is>
          <t>SKÅNE LÄN</t>
        </is>
      </c>
      <c r="E77" t="inlineStr">
        <is>
          <t>TOMELILLA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12181-2023</t>
        </is>
      </c>
      <c r="B78" s="1" t="n">
        <v>44998</v>
      </c>
      <c r="C78" s="1" t="n">
        <v>45585</v>
      </c>
      <c r="D78" t="inlineStr">
        <is>
          <t>SKÅNE LÄN</t>
        </is>
      </c>
      <c r="E78" t="inlineStr">
        <is>
          <t>TOMELILLA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12310-2023</t>
        </is>
      </c>
      <c r="B79" s="1" t="n">
        <v>44999</v>
      </c>
      <c r="C79" s="1" t="n">
        <v>45585</v>
      </c>
      <c r="D79" t="inlineStr">
        <is>
          <t>SKÅNE LÄN</t>
        </is>
      </c>
      <c r="E79" t="inlineStr">
        <is>
          <t>TOMELILLA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12354-2023</t>
        </is>
      </c>
      <c r="B80" s="1" t="n">
        <v>44999</v>
      </c>
      <c r="C80" s="1" t="n">
        <v>45585</v>
      </c>
      <c r="D80" t="inlineStr">
        <is>
          <t>SKÅNE LÄN</t>
        </is>
      </c>
      <c r="E80" t="inlineStr">
        <is>
          <t>TOMELILLA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14152-2023</t>
        </is>
      </c>
      <c r="B81" s="1" t="n">
        <v>45009</v>
      </c>
      <c r="C81" s="1" t="n">
        <v>45585</v>
      </c>
      <c r="D81" t="inlineStr">
        <is>
          <t>SKÅNE LÄN</t>
        </is>
      </c>
      <c r="E81" t="inlineStr">
        <is>
          <t>TOMELILLA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14154-2023</t>
        </is>
      </c>
      <c r="B82" s="1" t="n">
        <v>45009</v>
      </c>
      <c r="C82" s="1" t="n">
        <v>45585</v>
      </c>
      <c r="D82" t="inlineStr">
        <is>
          <t>SKÅNE LÄN</t>
        </is>
      </c>
      <c r="E82" t="inlineStr">
        <is>
          <t>TOMELILLA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15514-2023</t>
        </is>
      </c>
      <c r="B83" s="1" t="n">
        <v>45020</v>
      </c>
      <c r="C83" s="1" t="n">
        <v>45585</v>
      </c>
      <c r="D83" t="inlineStr">
        <is>
          <t>SKÅNE LÄN</t>
        </is>
      </c>
      <c r="E83" t="inlineStr">
        <is>
          <t>TOMELILLA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28862-2023</t>
        </is>
      </c>
      <c r="B84" s="1" t="n">
        <v>45104</v>
      </c>
      <c r="C84" s="1" t="n">
        <v>45585</v>
      </c>
      <c r="D84" t="inlineStr">
        <is>
          <t>SKÅNE LÄN</t>
        </is>
      </c>
      <c r="E84" t="inlineStr">
        <is>
          <t>TOMELILLA</t>
        </is>
      </c>
      <c r="F84" t="inlineStr">
        <is>
          <t>Övriga Aktiebolag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30673-2023</t>
        </is>
      </c>
      <c r="B85" s="1" t="n">
        <v>45112</v>
      </c>
      <c r="C85" s="1" t="n">
        <v>45585</v>
      </c>
      <c r="D85" t="inlineStr">
        <is>
          <t>SKÅNE LÄN</t>
        </is>
      </c>
      <c r="E85" t="inlineStr">
        <is>
          <t>TOMELILLA</t>
        </is>
      </c>
      <c r="F85" t="inlineStr">
        <is>
          <t>Övriga Aktiebolag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30806-2023</t>
        </is>
      </c>
      <c r="B86" s="1" t="n">
        <v>45112</v>
      </c>
      <c r="C86" s="1" t="n">
        <v>45585</v>
      </c>
      <c r="D86" t="inlineStr">
        <is>
          <t>SKÅNE LÄN</t>
        </is>
      </c>
      <c r="E86" t="inlineStr">
        <is>
          <t>TOMELILLA</t>
        </is>
      </c>
      <c r="F86" t="inlineStr">
        <is>
          <t>Övriga Aktiebolag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31993-2023</t>
        </is>
      </c>
      <c r="B87" s="1" t="n">
        <v>45119</v>
      </c>
      <c r="C87" s="1" t="n">
        <v>45585</v>
      </c>
      <c r="D87" t="inlineStr">
        <is>
          <t>SKÅNE LÄN</t>
        </is>
      </c>
      <c r="E87" t="inlineStr">
        <is>
          <t>TOMELILLA</t>
        </is>
      </c>
      <c r="G87" t="n">
        <v>6.8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38562-2023</t>
        </is>
      </c>
      <c r="B88" s="1" t="n">
        <v>45162</v>
      </c>
      <c r="C88" s="1" t="n">
        <v>45585</v>
      </c>
      <c r="D88" t="inlineStr">
        <is>
          <t>SKÅNE LÄN</t>
        </is>
      </c>
      <c r="E88" t="inlineStr">
        <is>
          <t>TOMELILLA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47231-2023</t>
        </is>
      </c>
      <c r="B89" s="1" t="n">
        <v>45202</v>
      </c>
      <c r="C89" s="1" t="n">
        <v>45585</v>
      </c>
      <c r="D89" t="inlineStr">
        <is>
          <t>SKÅNE LÄN</t>
        </is>
      </c>
      <c r="E89" t="inlineStr">
        <is>
          <t>TOMELILLA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51031-2023</t>
        </is>
      </c>
      <c r="B90" s="1" t="n">
        <v>45211</v>
      </c>
      <c r="C90" s="1" t="n">
        <v>45585</v>
      </c>
      <c r="D90" t="inlineStr">
        <is>
          <t>SKÅNE LÄN</t>
        </is>
      </c>
      <c r="E90" t="inlineStr">
        <is>
          <t>TOMELILLA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55802-2023</t>
        </is>
      </c>
      <c r="B91" s="1" t="n">
        <v>45239</v>
      </c>
      <c r="C91" s="1" t="n">
        <v>45585</v>
      </c>
      <c r="D91" t="inlineStr">
        <is>
          <t>SKÅNE LÄN</t>
        </is>
      </c>
      <c r="E91" t="inlineStr">
        <is>
          <t>TOMELILLA</t>
        </is>
      </c>
      <c r="F91" t="inlineStr">
        <is>
          <t>Övriga Aktiebolag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57961-2023</t>
        </is>
      </c>
      <c r="B92" s="1" t="n">
        <v>45247</v>
      </c>
      <c r="C92" s="1" t="n">
        <v>45585</v>
      </c>
      <c r="D92" t="inlineStr">
        <is>
          <t>SKÅNE LÄN</t>
        </is>
      </c>
      <c r="E92" t="inlineStr">
        <is>
          <t>TOMELILLA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60620-2023</t>
        </is>
      </c>
      <c r="B93" s="1" t="n">
        <v>45259</v>
      </c>
      <c r="C93" s="1" t="n">
        <v>45585</v>
      </c>
      <c r="D93" t="inlineStr">
        <is>
          <t>SKÅNE LÄN</t>
        </is>
      </c>
      <c r="E93" t="inlineStr">
        <is>
          <t>TOMELILLA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60623-2023</t>
        </is>
      </c>
      <c r="B94" s="1" t="n">
        <v>45259</v>
      </c>
      <c r="C94" s="1" t="n">
        <v>45585</v>
      </c>
      <c r="D94" t="inlineStr">
        <is>
          <t>SKÅNE LÄN</t>
        </is>
      </c>
      <c r="E94" t="inlineStr">
        <is>
          <t>TOMELILLA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60809-2023</t>
        </is>
      </c>
      <c r="B95" s="1" t="n">
        <v>45260</v>
      </c>
      <c r="C95" s="1" t="n">
        <v>45585</v>
      </c>
      <c r="D95" t="inlineStr">
        <is>
          <t>SKÅNE LÄN</t>
        </is>
      </c>
      <c r="E95" t="inlineStr">
        <is>
          <t>TOMELILLA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60813-2023</t>
        </is>
      </c>
      <c r="B96" s="1" t="n">
        <v>45260</v>
      </c>
      <c r="C96" s="1" t="n">
        <v>45585</v>
      </c>
      <c r="D96" t="inlineStr">
        <is>
          <t>SKÅNE LÄN</t>
        </is>
      </c>
      <c r="E96" t="inlineStr">
        <is>
          <t>TOMELILLA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60817-2023</t>
        </is>
      </c>
      <c r="B97" s="1" t="n">
        <v>45260</v>
      </c>
      <c r="C97" s="1" t="n">
        <v>45585</v>
      </c>
      <c r="D97" t="inlineStr">
        <is>
          <t>SKÅNE LÄN</t>
        </is>
      </c>
      <c r="E97" t="inlineStr">
        <is>
          <t>TOMELILLA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60815-2023</t>
        </is>
      </c>
      <c r="B98" s="1" t="n">
        <v>45260</v>
      </c>
      <c r="C98" s="1" t="n">
        <v>45585</v>
      </c>
      <c r="D98" t="inlineStr">
        <is>
          <t>SKÅNE LÄN</t>
        </is>
      </c>
      <c r="E98" t="inlineStr">
        <is>
          <t>TOMELILLA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64890-2023</t>
        </is>
      </c>
      <c r="B99" s="1" t="n">
        <v>45282</v>
      </c>
      <c r="C99" s="1" t="n">
        <v>45585</v>
      </c>
      <c r="D99" t="inlineStr">
        <is>
          <t>SKÅNE LÄN</t>
        </is>
      </c>
      <c r="E99" t="inlineStr">
        <is>
          <t>TOMELILLA</t>
        </is>
      </c>
      <c r="F99" t="inlineStr">
        <is>
          <t>Kyrkan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566-2024</t>
        </is>
      </c>
      <c r="B100" s="1" t="n">
        <v>45299</v>
      </c>
      <c r="C100" s="1" t="n">
        <v>45585</v>
      </c>
      <c r="D100" t="inlineStr">
        <is>
          <t>SKÅNE LÄN</t>
        </is>
      </c>
      <c r="E100" t="inlineStr">
        <is>
          <t>TOMELILLA</t>
        </is>
      </c>
      <c r="F100" t="inlineStr">
        <is>
          <t>Övriga Aktiebolag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578-2024</t>
        </is>
      </c>
      <c r="B101" s="1" t="n">
        <v>45299</v>
      </c>
      <c r="C101" s="1" t="n">
        <v>45585</v>
      </c>
      <c r="D101" t="inlineStr">
        <is>
          <t>SKÅNE LÄN</t>
        </is>
      </c>
      <c r="E101" t="inlineStr">
        <is>
          <t>TOMELILLA</t>
        </is>
      </c>
      <c r="F101" t="inlineStr">
        <is>
          <t>Övriga Aktiebolag</t>
        </is>
      </c>
      <c r="G101" t="n">
        <v>67.40000000000001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823-2024</t>
        </is>
      </c>
      <c r="B102" s="1" t="n">
        <v>45300</v>
      </c>
      <c r="C102" s="1" t="n">
        <v>45585</v>
      </c>
      <c r="D102" t="inlineStr">
        <is>
          <t>SKÅNE LÄN</t>
        </is>
      </c>
      <c r="E102" t="inlineStr">
        <is>
          <t>TOMELILLA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743-2024</t>
        </is>
      </c>
      <c r="B103" s="1" t="n">
        <v>45300</v>
      </c>
      <c r="C103" s="1" t="n">
        <v>45585</v>
      </c>
      <c r="D103" t="inlineStr">
        <is>
          <t>SKÅNE LÄN</t>
        </is>
      </c>
      <c r="E103" t="inlineStr">
        <is>
          <t>TOMELILLA</t>
        </is>
      </c>
      <c r="F103" t="inlineStr">
        <is>
          <t>Övriga Aktiebolag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1199-2024</t>
        </is>
      </c>
      <c r="B104" s="1" t="n">
        <v>45302</v>
      </c>
      <c r="C104" s="1" t="n">
        <v>45585</v>
      </c>
      <c r="D104" t="inlineStr">
        <is>
          <t>SKÅNE LÄN</t>
        </is>
      </c>
      <c r="E104" t="inlineStr">
        <is>
          <t>TOMELILLA</t>
        </is>
      </c>
      <c r="F104" t="inlineStr">
        <is>
          <t>Övriga Aktiebolag</t>
        </is>
      </c>
      <c r="G104" t="n">
        <v>16.1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2548-2024</t>
        </is>
      </c>
      <c r="B105" s="1" t="n">
        <v>45313</v>
      </c>
      <c r="C105" s="1" t="n">
        <v>45585</v>
      </c>
      <c r="D105" t="inlineStr">
        <is>
          <t>SKÅNE LÄN</t>
        </is>
      </c>
      <c r="E105" t="inlineStr">
        <is>
          <t>TOMELILLA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3529-2024</t>
        </is>
      </c>
      <c r="B106" s="1" t="n">
        <v>45320</v>
      </c>
      <c r="C106" s="1" t="n">
        <v>45585</v>
      </c>
      <c r="D106" t="inlineStr">
        <is>
          <t>SKÅNE LÄN</t>
        </is>
      </c>
      <c r="E106" t="inlineStr">
        <is>
          <t>TOMELILLA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4018-2024</t>
        </is>
      </c>
      <c r="B107" s="1" t="n">
        <v>45323</v>
      </c>
      <c r="C107" s="1" t="n">
        <v>45585</v>
      </c>
      <c r="D107" t="inlineStr">
        <is>
          <t>SKÅNE LÄN</t>
        </is>
      </c>
      <c r="E107" t="inlineStr">
        <is>
          <t>TOMELILLA</t>
        </is>
      </c>
      <c r="F107" t="inlineStr">
        <is>
          <t>Övriga Aktiebolag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4023-2024</t>
        </is>
      </c>
      <c r="B108" s="1" t="n">
        <v>45323</v>
      </c>
      <c r="C108" s="1" t="n">
        <v>45585</v>
      </c>
      <c r="D108" t="inlineStr">
        <is>
          <t>SKÅNE LÄN</t>
        </is>
      </c>
      <c r="E108" t="inlineStr">
        <is>
          <t>TOMELILLA</t>
        </is>
      </c>
      <c r="F108" t="inlineStr">
        <is>
          <t>Övriga Aktiebolag</t>
        </is>
      </c>
      <c r="G108" t="n">
        <v>15.2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4188-2024</t>
        </is>
      </c>
      <c r="B109" s="1" t="n">
        <v>45324</v>
      </c>
      <c r="C109" s="1" t="n">
        <v>45585</v>
      </c>
      <c r="D109" t="inlineStr">
        <is>
          <t>SKÅNE LÄN</t>
        </is>
      </c>
      <c r="E109" t="inlineStr">
        <is>
          <t>TOMELILLA</t>
        </is>
      </c>
      <c r="F109" t="inlineStr">
        <is>
          <t>Övriga Aktiebolag</t>
        </is>
      </c>
      <c r="G109" t="n">
        <v>9.6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4191-2024</t>
        </is>
      </c>
      <c r="B110" s="1" t="n">
        <v>45324</v>
      </c>
      <c r="C110" s="1" t="n">
        <v>45585</v>
      </c>
      <c r="D110" t="inlineStr">
        <is>
          <t>SKÅNE LÄN</t>
        </is>
      </c>
      <c r="E110" t="inlineStr">
        <is>
          <t>TOMELILLA</t>
        </is>
      </c>
      <c r="F110" t="inlineStr">
        <is>
          <t>Övriga Aktiebolag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4478-2024</t>
        </is>
      </c>
      <c r="B111" s="1" t="n">
        <v>45327</v>
      </c>
      <c r="C111" s="1" t="n">
        <v>45585</v>
      </c>
      <c r="D111" t="inlineStr">
        <is>
          <t>SKÅNE LÄN</t>
        </is>
      </c>
      <c r="E111" t="inlineStr">
        <is>
          <t>TOMELILLA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4649-2024</t>
        </is>
      </c>
      <c r="B112" s="1" t="n">
        <v>45328</v>
      </c>
      <c r="C112" s="1" t="n">
        <v>45585</v>
      </c>
      <c r="D112" t="inlineStr">
        <is>
          <t>SKÅNE LÄN</t>
        </is>
      </c>
      <c r="E112" t="inlineStr">
        <is>
          <t>TOMELILLA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4651-2024</t>
        </is>
      </c>
      <c r="B113" s="1" t="n">
        <v>45328</v>
      </c>
      <c r="C113" s="1" t="n">
        <v>45585</v>
      </c>
      <c r="D113" t="inlineStr">
        <is>
          <t>SKÅNE LÄN</t>
        </is>
      </c>
      <c r="E113" t="inlineStr">
        <is>
          <t>TOMELILLA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5027-2024</t>
        </is>
      </c>
      <c r="B114" s="1" t="n">
        <v>45329</v>
      </c>
      <c r="C114" s="1" t="n">
        <v>45585</v>
      </c>
      <c r="D114" t="inlineStr">
        <is>
          <t>SKÅNE LÄN</t>
        </is>
      </c>
      <c r="E114" t="inlineStr">
        <is>
          <t>TOMELILLA</t>
        </is>
      </c>
      <c r="F114" t="inlineStr">
        <is>
          <t>Övriga Aktiebolag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5536-2024</t>
        </is>
      </c>
      <c r="B115" s="1" t="n">
        <v>45334</v>
      </c>
      <c r="C115" s="1" t="n">
        <v>45585</v>
      </c>
      <c r="D115" t="inlineStr">
        <is>
          <t>SKÅNE LÄN</t>
        </is>
      </c>
      <c r="E115" t="inlineStr">
        <is>
          <t>TOMELILLA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5544-2024</t>
        </is>
      </c>
      <c r="B116" s="1" t="n">
        <v>45334</v>
      </c>
      <c r="C116" s="1" t="n">
        <v>45585</v>
      </c>
      <c r="D116" t="inlineStr">
        <is>
          <t>SKÅNE LÄN</t>
        </is>
      </c>
      <c r="E116" t="inlineStr">
        <is>
          <t>TOMELILLA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5565-2024</t>
        </is>
      </c>
      <c r="B117" s="1" t="n">
        <v>45334</v>
      </c>
      <c r="C117" s="1" t="n">
        <v>45585</v>
      </c>
      <c r="D117" t="inlineStr">
        <is>
          <t>SKÅNE LÄN</t>
        </is>
      </c>
      <c r="E117" t="inlineStr">
        <is>
          <t>TOMELILLA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5569-2024</t>
        </is>
      </c>
      <c r="B118" s="1" t="n">
        <v>45334</v>
      </c>
      <c r="C118" s="1" t="n">
        <v>45585</v>
      </c>
      <c r="D118" t="inlineStr">
        <is>
          <t>SKÅNE LÄN</t>
        </is>
      </c>
      <c r="E118" t="inlineStr">
        <is>
          <t>TOMELILLA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5709-2024</t>
        </is>
      </c>
      <c r="B119" s="1" t="n">
        <v>45334</v>
      </c>
      <c r="C119" s="1" t="n">
        <v>45585</v>
      </c>
      <c r="D119" t="inlineStr">
        <is>
          <t>SKÅNE LÄN</t>
        </is>
      </c>
      <c r="E119" t="inlineStr">
        <is>
          <t>TOMELILLA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5956-2024</t>
        </is>
      </c>
      <c r="B120" s="1" t="n">
        <v>45336</v>
      </c>
      <c r="C120" s="1" t="n">
        <v>45585</v>
      </c>
      <c r="D120" t="inlineStr">
        <is>
          <t>SKÅNE LÄN</t>
        </is>
      </c>
      <c r="E120" t="inlineStr">
        <is>
          <t>TOMELILLA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6261-2024</t>
        </is>
      </c>
      <c r="B121" s="1" t="n">
        <v>45337</v>
      </c>
      <c r="C121" s="1" t="n">
        <v>45585</v>
      </c>
      <c r="D121" t="inlineStr">
        <is>
          <t>SKÅNE LÄN</t>
        </is>
      </c>
      <c r="E121" t="inlineStr">
        <is>
          <t>TOMELILLA</t>
        </is>
      </c>
      <c r="G121" t="n">
        <v>12.6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6262-2024</t>
        </is>
      </c>
      <c r="B122" s="1" t="n">
        <v>45337</v>
      </c>
      <c r="C122" s="1" t="n">
        <v>45585</v>
      </c>
      <c r="D122" t="inlineStr">
        <is>
          <t>SKÅNE LÄN</t>
        </is>
      </c>
      <c r="E122" t="inlineStr">
        <is>
          <t>TOMELILLA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6259-2024</t>
        </is>
      </c>
      <c r="B123" s="1" t="n">
        <v>45337</v>
      </c>
      <c r="C123" s="1" t="n">
        <v>45585</v>
      </c>
      <c r="D123" t="inlineStr">
        <is>
          <t>SKÅNE LÄN</t>
        </is>
      </c>
      <c r="E123" t="inlineStr">
        <is>
          <t>TOMELILLA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6357-2024</t>
        </is>
      </c>
      <c r="B124" s="1" t="n">
        <v>45338</v>
      </c>
      <c r="C124" s="1" t="n">
        <v>45585</v>
      </c>
      <c r="D124" t="inlineStr">
        <is>
          <t>SKÅNE LÄN</t>
        </is>
      </c>
      <c r="E124" t="inlineStr">
        <is>
          <t>TOMELILLA</t>
        </is>
      </c>
      <c r="F124" t="inlineStr">
        <is>
          <t>Kyrkan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6316-2024</t>
        </is>
      </c>
      <c r="B125" s="1" t="n">
        <v>45338</v>
      </c>
      <c r="C125" s="1" t="n">
        <v>45585</v>
      </c>
      <c r="D125" t="inlineStr">
        <is>
          <t>SKÅNE LÄN</t>
        </is>
      </c>
      <c r="E125" t="inlineStr">
        <is>
          <t>TOMELILLA</t>
        </is>
      </c>
      <c r="F125" t="inlineStr">
        <is>
          <t>Övriga Aktiebolag</t>
        </is>
      </c>
      <c r="G125" t="n">
        <v>28.6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8186-2024</t>
        </is>
      </c>
      <c r="B126" s="1" t="n">
        <v>45338</v>
      </c>
      <c r="C126" s="1" t="n">
        <v>45585</v>
      </c>
      <c r="D126" t="inlineStr">
        <is>
          <t>SKÅNE LÄN</t>
        </is>
      </c>
      <c r="E126" t="inlineStr">
        <is>
          <t>TOMELILLA</t>
        </is>
      </c>
      <c r="F126" t="inlineStr">
        <is>
          <t>Kyrkan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8190-2024</t>
        </is>
      </c>
      <c r="B127" s="1" t="n">
        <v>45338</v>
      </c>
      <c r="C127" s="1" t="n">
        <v>45585</v>
      </c>
      <c r="D127" t="inlineStr">
        <is>
          <t>SKÅNE LÄN</t>
        </is>
      </c>
      <c r="E127" t="inlineStr">
        <is>
          <t>TOMELILLA</t>
        </is>
      </c>
      <c r="F127" t="inlineStr">
        <is>
          <t>Kyrkan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8187-2024</t>
        </is>
      </c>
      <c r="B128" s="1" t="n">
        <v>45338</v>
      </c>
      <c r="C128" s="1" t="n">
        <v>45585</v>
      </c>
      <c r="D128" t="inlineStr">
        <is>
          <t>SKÅNE LÄN</t>
        </is>
      </c>
      <c r="E128" t="inlineStr">
        <is>
          <t>TOMELILLA</t>
        </is>
      </c>
      <c r="F128" t="inlineStr">
        <is>
          <t>Kyrkan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8192-2024</t>
        </is>
      </c>
      <c r="B129" s="1" t="n">
        <v>45338</v>
      </c>
      <c r="C129" s="1" t="n">
        <v>45585</v>
      </c>
      <c r="D129" t="inlineStr">
        <is>
          <t>SKÅNE LÄN</t>
        </is>
      </c>
      <c r="E129" t="inlineStr">
        <is>
          <t>TOMELILLA</t>
        </is>
      </c>
      <c r="F129" t="inlineStr">
        <is>
          <t>Kyrkan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8189-2024</t>
        </is>
      </c>
      <c r="B130" s="1" t="n">
        <v>45338</v>
      </c>
      <c r="C130" s="1" t="n">
        <v>45585</v>
      </c>
      <c r="D130" t="inlineStr">
        <is>
          <t>SKÅNE LÄN</t>
        </is>
      </c>
      <c r="E130" t="inlineStr">
        <is>
          <t>TOMELILLA</t>
        </is>
      </c>
      <c r="F130" t="inlineStr">
        <is>
          <t>Kyrkan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7955-2024</t>
        </is>
      </c>
      <c r="B131" s="1" t="n">
        <v>45350</v>
      </c>
      <c r="C131" s="1" t="n">
        <v>45585</v>
      </c>
      <c r="D131" t="inlineStr">
        <is>
          <t>SKÅNE LÄN</t>
        </is>
      </c>
      <c r="E131" t="inlineStr">
        <is>
          <t>TOMELILLA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8455-2024</t>
        </is>
      </c>
      <c r="B132" s="1" t="n">
        <v>45354</v>
      </c>
      <c r="C132" s="1" t="n">
        <v>45585</v>
      </c>
      <c r="D132" t="inlineStr">
        <is>
          <t>SKÅNE LÄN</t>
        </is>
      </c>
      <c r="E132" t="inlineStr">
        <is>
          <t>TOMELILLA</t>
        </is>
      </c>
      <c r="F132" t="inlineStr">
        <is>
          <t>Övriga Aktiebolag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8967-2024</t>
        </is>
      </c>
      <c r="B133" s="1" t="n">
        <v>45357</v>
      </c>
      <c r="C133" s="1" t="n">
        <v>45585</v>
      </c>
      <c r="D133" t="inlineStr">
        <is>
          <t>SKÅNE LÄN</t>
        </is>
      </c>
      <c r="E133" t="inlineStr">
        <is>
          <t>TOMELILLA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10288-2024</t>
        </is>
      </c>
      <c r="B134" s="1" t="n">
        <v>45365</v>
      </c>
      <c r="C134" s="1" t="n">
        <v>45585</v>
      </c>
      <c r="D134" t="inlineStr">
        <is>
          <t>SKÅNE LÄN</t>
        </is>
      </c>
      <c r="E134" t="inlineStr">
        <is>
          <t>TOMELILLA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11802-2024</t>
        </is>
      </c>
      <c r="B135" s="1" t="n">
        <v>45375</v>
      </c>
      <c r="C135" s="1" t="n">
        <v>45585</v>
      </c>
      <c r="D135" t="inlineStr">
        <is>
          <t>SKÅNE LÄN</t>
        </is>
      </c>
      <c r="E135" t="inlineStr">
        <is>
          <t>TOMELILLA</t>
        </is>
      </c>
      <c r="F135" t="inlineStr">
        <is>
          <t>Övriga Aktiebolag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11894-2024</t>
        </is>
      </c>
      <c r="B136" s="1" t="n">
        <v>45376</v>
      </c>
      <c r="C136" s="1" t="n">
        <v>45585</v>
      </c>
      <c r="D136" t="inlineStr">
        <is>
          <t>SKÅNE LÄN</t>
        </is>
      </c>
      <c r="E136" t="inlineStr">
        <is>
          <t>TOMELILLA</t>
        </is>
      </c>
      <c r="F136" t="inlineStr">
        <is>
          <t>Övriga Aktiebolag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11887-2024</t>
        </is>
      </c>
      <c r="B137" s="1" t="n">
        <v>45376</v>
      </c>
      <c r="C137" s="1" t="n">
        <v>45585</v>
      </c>
      <c r="D137" t="inlineStr">
        <is>
          <t>SKÅNE LÄN</t>
        </is>
      </c>
      <c r="E137" t="inlineStr">
        <is>
          <t>TOMELILLA</t>
        </is>
      </c>
      <c r="F137" t="inlineStr">
        <is>
          <t>Övriga Aktiebolag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12903-2024</t>
        </is>
      </c>
      <c r="B138" s="1" t="n">
        <v>45385</v>
      </c>
      <c r="C138" s="1" t="n">
        <v>45585</v>
      </c>
      <c r="D138" t="inlineStr">
        <is>
          <t>SKÅNE LÄN</t>
        </is>
      </c>
      <c r="E138" t="inlineStr">
        <is>
          <t>TOMELILLA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12913-2024</t>
        </is>
      </c>
      <c r="B139" s="1" t="n">
        <v>45385</v>
      </c>
      <c r="C139" s="1" t="n">
        <v>45585</v>
      </c>
      <c r="D139" t="inlineStr">
        <is>
          <t>SKÅNE LÄN</t>
        </is>
      </c>
      <c r="E139" t="inlineStr">
        <is>
          <t>TOMELILLA</t>
        </is>
      </c>
      <c r="F139" t="inlineStr">
        <is>
          <t>Övriga Aktiebolag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12900-2024</t>
        </is>
      </c>
      <c r="B140" s="1" t="n">
        <v>45385</v>
      </c>
      <c r="C140" s="1" t="n">
        <v>45585</v>
      </c>
      <c r="D140" t="inlineStr">
        <is>
          <t>SKÅNE LÄN</t>
        </is>
      </c>
      <c r="E140" t="inlineStr">
        <is>
          <t>TOMELILLA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12931-2024</t>
        </is>
      </c>
      <c r="B141" s="1" t="n">
        <v>45385</v>
      </c>
      <c r="C141" s="1" t="n">
        <v>45585</v>
      </c>
      <c r="D141" t="inlineStr">
        <is>
          <t>SKÅNE LÄN</t>
        </is>
      </c>
      <c r="E141" t="inlineStr">
        <is>
          <t>TOMELILLA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12988-2024</t>
        </is>
      </c>
      <c r="B142" s="1" t="n">
        <v>45385</v>
      </c>
      <c r="C142" s="1" t="n">
        <v>45585</v>
      </c>
      <c r="D142" t="inlineStr">
        <is>
          <t>SKÅNE LÄN</t>
        </is>
      </c>
      <c r="E142" t="inlineStr">
        <is>
          <t>TOMELILLA</t>
        </is>
      </c>
      <c r="F142" t="inlineStr">
        <is>
          <t>Övriga Aktiebolag</t>
        </is>
      </c>
      <c r="G142" t="n">
        <v>16.2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12898-2024</t>
        </is>
      </c>
      <c r="B143" s="1" t="n">
        <v>45385</v>
      </c>
      <c r="C143" s="1" t="n">
        <v>45585</v>
      </c>
      <c r="D143" t="inlineStr">
        <is>
          <t>SKÅNE LÄN</t>
        </is>
      </c>
      <c r="E143" t="inlineStr">
        <is>
          <t>TOMELILLA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13080-2024</t>
        </is>
      </c>
      <c r="B144" s="1" t="n">
        <v>45385</v>
      </c>
      <c r="C144" s="1" t="n">
        <v>45585</v>
      </c>
      <c r="D144" t="inlineStr">
        <is>
          <t>SKÅNE LÄN</t>
        </is>
      </c>
      <c r="E144" t="inlineStr">
        <is>
          <t>TOMELILLA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13159-2024</t>
        </is>
      </c>
      <c r="B145" s="1" t="n">
        <v>45386</v>
      </c>
      <c r="C145" s="1" t="n">
        <v>45585</v>
      </c>
      <c r="D145" t="inlineStr">
        <is>
          <t>SKÅNE LÄN</t>
        </is>
      </c>
      <c r="E145" t="inlineStr">
        <is>
          <t>TOMELILLA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14683-2024</t>
        </is>
      </c>
      <c r="B146" s="1" t="n">
        <v>45397</v>
      </c>
      <c r="C146" s="1" t="n">
        <v>45585</v>
      </c>
      <c r="D146" t="inlineStr">
        <is>
          <t>SKÅNE LÄN</t>
        </is>
      </c>
      <c r="E146" t="inlineStr">
        <is>
          <t>TOMELILLA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15075-2024</t>
        </is>
      </c>
      <c r="B147" s="1" t="n">
        <v>45399</v>
      </c>
      <c r="C147" s="1" t="n">
        <v>45585</v>
      </c>
      <c r="D147" t="inlineStr">
        <is>
          <t>SKÅNE LÄN</t>
        </is>
      </c>
      <c r="E147" t="inlineStr">
        <is>
          <t>TOMELILLA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15012-2024</t>
        </is>
      </c>
      <c r="B148" s="1" t="n">
        <v>45399</v>
      </c>
      <c r="C148" s="1" t="n">
        <v>45585</v>
      </c>
      <c r="D148" t="inlineStr">
        <is>
          <t>SKÅNE LÄN</t>
        </is>
      </c>
      <c r="E148" t="inlineStr">
        <is>
          <t>TOMELILLA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16568-2024</t>
        </is>
      </c>
      <c r="B149" s="1" t="n">
        <v>45408</v>
      </c>
      <c r="C149" s="1" t="n">
        <v>45585</v>
      </c>
      <c r="D149" t="inlineStr">
        <is>
          <t>SKÅNE LÄN</t>
        </is>
      </c>
      <c r="E149" t="inlineStr">
        <is>
          <t>TOMELILLA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16483-2024</t>
        </is>
      </c>
      <c r="B150" s="1" t="n">
        <v>45408</v>
      </c>
      <c r="C150" s="1" t="n">
        <v>45585</v>
      </c>
      <c r="D150" t="inlineStr">
        <is>
          <t>SKÅNE LÄN</t>
        </is>
      </c>
      <c r="E150" t="inlineStr">
        <is>
          <t>TOMELILLA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16482-2024</t>
        </is>
      </c>
      <c r="B151" s="1" t="n">
        <v>45408</v>
      </c>
      <c r="C151" s="1" t="n">
        <v>45585</v>
      </c>
      <c r="D151" t="inlineStr">
        <is>
          <t>SKÅNE LÄN</t>
        </is>
      </c>
      <c r="E151" t="inlineStr">
        <is>
          <t>TOMELILLA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17151-2024</t>
        </is>
      </c>
      <c r="B152" s="1" t="n">
        <v>45412</v>
      </c>
      <c r="C152" s="1" t="n">
        <v>45585</v>
      </c>
      <c r="D152" t="inlineStr">
        <is>
          <t>SKÅNE LÄN</t>
        </is>
      </c>
      <c r="E152" t="inlineStr">
        <is>
          <t>TOMELILLA</t>
        </is>
      </c>
      <c r="F152" t="inlineStr">
        <is>
          <t>Övriga Aktiebolag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17316-2024</t>
        </is>
      </c>
      <c r="B153" s="1" t="n">
        <v>45414</v>
      </c>
      <c r="C153" s="1" t="n">
        <v>45585</v>
      </c>
      <c r="D153" t="inlineStr">
        <is>
          <t>SKÅNE LÄN</t>
        </is>
      </c>
      <c r="E153" t="inlineStr">
        <is>
          <t>TOMELILLA</t>
        </is>
      </c>
      <c r="F153" t="inlineStr">
        <is>
          <t>Övriga Aktiebolag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17778-2024</t>
        </is>
      </c>
      <c r="B154" s="1" t="n">
        <v>45418</v>
      </c>
      <c r="C154" s="1" t="n">
        <v>45585</v>
      </c>
      <c r="D154" t="inlineStr">
        <is>
          <t>SKÅNE LÄN</t>
        </is>
      </c>
      <c r="E154" t="inlineStr">
        <is>
          <t>TOMELILLA</t>
        </is>
      </c>
      <c r="F154" t="inlineStr">
        <is>
          <t>Övriga Aktiebolag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17907-2024</t>
        </is>
      </c>
      <c r="B155" s="1" t="n">
        <v>45419</v>
      </c>
      <c r="C155" s="1" t="n">
        <v>45585</v>
      </c>
      <c r="D155" t="inlineStr">
        <is>
          <t>SKÅNE LÄN</t>
        </is>
      </c>
      <c r="E155" t="inlineStr">
        <is>
          <t>TOMELILLA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18698-2024</t>
        </is>
      </c>
      <c r="B156" s="1" t="n">
        <v>45426</v>
      </c>
      <c r="C156" s="1" t="n">
        <v>45585</v>
      </c>
      <c r="D156" t="inlineStr">
        <is>
          <t>SKÅNE LÄN</t>
        </is>
      </c>
      <c r="E156" t="inlineStr">
        <is>
          <t>TOMELILLA</t>
        </is>
      </c>
      <c r="F156" t="inlineStr">
        <is>
          <t>Övriga Aktiebolag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19457-2024</t>
        </is>
      </c>
      <c r="B157" s="1" t="n">
        <v>45429</v>
      </c>
      <c r="C157" s="1" t="n">
        <v>45585</v>
      </c>
      <c r="D157" t="inlineStr">
        <is>
          <t>SKÅNE LÄN</t>
        </is>
      </c>
      <c r="E157" t="inlineStr">
        <is>
          <t>TOMELILLA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19500-2024</t>
        </is>
      </c>
      <c r="B158" s="1" t="n">
        <v>45429</v>
      </c>
      <c r="C158" s="1" t="n">
        <v>45585</v>
      </c>
      <c r="D158" t="inlineStr">
        <is>
          <t>SKÅNE LÄN</t>
        </is>
      </c>
      <c r="E158" t="inlineStr">
        <is>
          <t>TOMELILLA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19454-2024</t>
        </is>
      </c>
      <c r="B159" s="1" t="n">
        <v>45429</v>
      </c>
      <c r="C159" s="1" t="n">
        <v>45585</v>
      </c>
      <c r="D159" t="inlineStr">
        <is>
          <t>SKÅNE LÄN</t>
        </is>
      </c>
      <c r="E159" t="inlineStr">
        <is>
          <t>TOMELILLA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19498-2024</t>
        </is>
      </c>
      <c r="B160" s="1" t="n">
        <v>45429</v>
      </c>
      <c r="C160" s="1" t="n">
        <v>45585</v>
      </c>
      <c r="D160" t="inlineStr">
        <is>
          <t>SKÅNE LÄN</t>
        </is>
      </c>
      <c r="E160" t="inlineStr">
        <is>
          <t>TOMELILLA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19891-2024</t>
        </is>
      </c>
      <c r="B161" s="1" t="n">
        <v>45433</v>
      </c>
      <c r="C161" s="1" t="n">
        <v>45585</v>
      </c>
      <c r="D161" t="inlineStr">
        <is>
          <t>SKÅNE LÄN</t>
        </is>
      </c>
      <c r="E161" t="inlineStr">
        <is>
          <t>TOMELILLA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19895-2024</t>
        </is>
      </c>
      <c r="B162" s="1" t="n">
        <v>45433</v>
      </c>
      <c r="C162" s="1" t="n">
        <v>45585</v>
      </c>
      <c r="D162" t="inlineStr">
        <is>
          <t>SKÅNE LÄN</t>
        </is>
      </c>
      <c r="E162" t="inlineStr">
        <is>
          <t>TOMELILLA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19892-2024</t>
        </is>
      </c>
      <c r="B163" s="1" t="n">
        <v>45433</v>
      </c>
      <c r="C163" s="1" t="n">
        <v>45585</v>
      </c>
      <c r="D163" t="inlineStr">
        <is>
          <t>SKÅNE LÄN</t>
        </is>
      </c>
      <c r="E163" t="inlineStr">
        <is>
          <t>TOMELILLA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19893-2024</t>
        </is>
      </c>
      <c r="B164" s="1" t="n">
        <v>45433</v>
      </c>
      <c r="C164" s="1" t="n">
        <v>45585</v>
      </c>
      <c r="D164" t="inlineStr">
        <is>
          <t>SKÅNE LÄN</t>
        </is>
      </c>
      <c r="E164" t="inlineStr">
        <is>
          <t>TOMELILLA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19926-2024</t>
        </is>
      </c>
      <c r="B165" s="1" t="n">
        <v>45433</v>
      </c>
      <c r="C165" s="1" t="n">
        <v>45585</v>
      </c>
      <c r="D165" t="inlineStr">
        <is>
          <t>SKÅNE LÄN</t>
        </is>
      </c>
      <c r="E165" t="inlineStr">
        <is>
          <t>TOMELILLA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23496-2024</t>
        </is>
      </c>
      <c r="B166" s="1" t="n">
        <v>45453</v>
      </c>
      <c r="C166" s="1" t="n">
        <v>45585</v>
      </c>
      <c r="D166" t="inlineStr">
        <is>
          <t>SKÅNE LÄN</t>
        </is>
      </c>
      <c r="E166" t="inlineStr">
        <is>
          <t>TOMELILLA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23813-2024</t>
        </is>
      </c>
      <c r="B167" s="1" t="n">
        <v>45455</v>
      </c>
      <c r="C167" s="1" t="n">
        <v>45585</v>
      </c>
      <c r="D167" t="inlineStr">
        <is>
          <t>SKÅNE LÄN</t>
        </is>
      </c>
      <c r="E167" t="inlineStr">
        <is>
          <t>TOMELILLA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24248-2024</t>
        </is>
      </c>
      <c r="B168" s="1" t="n">
        <v>45457</v>
      </c>
      <c r="C168" s="1" t="n">
        <v>45585</v>
      </c>
      <c r="D168" t="inlineStr">
        <is>
          <t>SKÅNE LÄN</t>
        </is>
      </c>
      <c r="E168" t="inlineStr">
        <is>
          <t>TOMELILLA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24934-2024</t>
        </is>
      </c>
      <c r="B169" s="1" t="n">
        <v>45461</v>
      </c>
      <c r="C169" s="1" t="n">
        <v>45585</v>
      </c>
      <c r="D169" t="inlineStr">
        <is>
          <t>SKÅNE LÄN</t>
        </is>
      </c>
      <c r="E169" t="inlineStr">
        <is>
          <t>TOMELILLA</t>
        </is>
      </c>
      <c r="F169" t="inlineStr">
        <is>
          <t>Sveaskog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24936-2024</t>
        </is>
      </c>
      <c r="B170" s="1" t="n">
        <v>45461</v>
      </c>
      <c r="C170" s="1" t="n">
        <v>45585</v>
      </c>
      <c r="D170" t="inlineStr">
        <is>
          <t>SKÅNE LÄN</t>
        </is>
      </c>
      <c r="E170" t="inlineStr">
        <is>
          <t>TOMELILLA</t>
        </is>
      </c>
      <c r="F170" t="inlineStr">
        <is>
          <t>Sveaskog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26473-2024</t>
        </is>
      </c>
      <c r="B171" s="1" t="n">
        <v>45469</v>
      </c>
      <c r="C171" s="1" t="n">
        <v>45585</v>
      </c>
      <c r="D171" t="inlineStr">
        <is>
          <t>SKÅNE LÄN</t>
        </is>
      </c>
      <c r="E171" t="inlineStr">
        <is>
          <t>TOMELILLA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27424-2024</t>
        </is>
      </c>
      <c r="B172" s="1" t="n">
        <v>45474</v>
      </c>
      <c r="C172" s="1" t="n">
        <v>45585</v>
      </c>
      <c r="D172" t="inlineStr">
        <is>
          <t>SKÅNE LÄN</t>
        </is>
      </c>
      <c r="E172" t="inlineStr">
        <is>
          <t>TOMELILLA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30040-2024</t>
        </is>
      </c>
      <c r="B173" s="1" t="n">
        <v>45488</v>
      </c>
      <c r="C173" s="1" t="n">
        <v>45585</v>
      </c>
      <c r="D173" t="inlineStr">
        <is>
          <t>SKÅNE LÄN</t>
        </is>
      </c>
      <c r="E173" t="inlineStr">
        <is>
          <t>TOMELILLA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30274-2024</t>
        </is>
      </c>
      <c r="B174" s="1" t="n">
        <v>45490</v>
      </c>
      <c r="C174" s="1" t="n">
        <v>45585</v>
      </c>
      <c r="D174" t="inlineStr">
        <is>
          <t>SKÅNE LÄN</t>
        </is>
      </c>
      <c r="E174" t="inlineStr">
        <is>
          <t>TOMELILLA</t>
        </is>
      </c>
      <c r="F174" t="inlineStr">
        <is>
          <t>Övriga Aktiebolag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30276-2024</t>
        </is>
      </c>
      <c r="B175" s="1" t="n">
        <v>45490</v>
      </c>
      <c r="C175" s="1" t="n">
        <v>45585</v>
      </c>
      <c r="D175" t="inlineStr">
        <is>
          <t>SKÅNE LÄN</t>
        </is>
      </c>
      <c r="E175" t="inlineStr">
        <is>
          <t>TOMELILLA</t>
        </is>
      </c>
      <c r="F175" t="inlineStr">
        <is>
          <t>Övriga Aktiebolag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35715-2024</t>
        </is>
      </c>
      <c r="B176" s="1" t="n">
        <v>45532</v>
      </c>
      <c r="C176" s="1" t="n">
        <v>45585</v>
      </c>
      <c r="D176" t="inlineStr">
        <is>
          <t>SKÅNE LÄN</t>
        </is>
      </c>
      <c r="E176" t="inlineStr">
        <is>
          <t>TOMELILLA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35742-2024</t>
        </is>
      </c>
      <c r="B177" s="1" t="n">
        <v>45532</v>
      </c>
      <c r="C177" s="1" t="n">
        <v>45585</v>
      </c>
      <c r="D177" t="inlineStr">
        <is>
          <t>SKÅNE LÄN</t>
        </is>
      </c>
      <c r="E177" t="inlineStr">
        <is>
          <t>TOMELILLA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36180-2024</t>
        </is>
      </c>
      <c r="B178" s="1" t="n">
        <v>45534</v>
      </c>
      <c r="C178" s="1" t="n">
        <v>45585</v>
      </c>
      <c r="D178" t="inlineStr">
        <is>
          <t>SKÅNE LÄN</t>
        </is>
      </c>
      <c r="E178" t="inlineStr">
        <is>
          <t>TOMELILLA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38387-2024</t>
        </is>
      </c>
      <c r="B179" s="1" t="n">
        <v>45546</v>
      </c>
      <c r="C179" s="1" t="n">
        <v>45585</v>
      </c>
      <c r="D179" t="inlineStr">
        <is>
          <t>SKÅNE LÄN</t>
        </is>
      </c>
      <c r="E179" t="inlineStr">
        <is>
          <t>TOMELILLA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38787-2024</t>
        </is>
      </c>
      <c r="B180" s="1" t="n">
        <v>45547</v>
      </c>
      <c r="C180" s="1" t="n">
        <v>45585</v>
      </c>
      <c r="D180" t="inlineStr">
        <is>
          <t>SKÅNE LÄN</t>
        </is>
      </c>
      <c r="E180" t="inlineStr">
        <is>
          <t>TOMELILLA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42261-2024</t>
        </is>
      </c>
      <c r="B181" s="1" t="n">
        <v>45562</v>
      </c>
      <c r="C181" s="1" t="n">
        <v>45585</v>
      </c>
      <c r="D181" t="inlineStr">
        <is>
          <t>SKÅNE LÄN</t>
        </is>
      </c>
      <c r="E181" t="inlineStr">
        <is>
          <t>TOMELILLA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42794-2024</t>
        </is>
      </c>
      <c r="B182" s="1" t="n">
        <v>45566</v>
      </c>
      <c r="C182" s="1" t="n">
        <v>45585</v>
      </c>
      <c r="D182" t="inlineStr">
        <is>
          <t>SKÅNE LÄN</t>
        </is>
      </c>
      <c r="E182" t="inlineStr">
        <is>
          <t>TOMELILLA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44065-2024</t>
        </is>
      </c>
      <c r="B183" s="1" t="n">
        <v>45572</v>
      </c>
      <c r="C183" s="1" t="n">
        <v>45585</v>
      </c>
      <c r="D183" t="inlineStr">
        <is>
          <t>SKÅNE LÄN</t>
        </is>
      </c>
      <c r="E183" t="inlineStr">
        <is>
          <t>TOMELILLA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44675-2024</t>
        </is>
      </c>
      <c r="B184" s="1" t="n">
        <v>45574</v>
      </c>
      <c r="C184" s="1" t="n">
        <v>45585</v>
      </c>
      <c r="D184" t="inlineStr">
        <is>
          <t>SKÅNE LÄN</t>
        </is>
      </c>
      <c r="E184" t="inlineStr">
        <is>
          <t>TOMELILLA</t>
        </is>
      </c>
      <c r="F184" t="inlineStr">
        <is>
          <t>Sveaskog</t>
        </is>
      </c>
      <c r="G184" t="n">
        <v>11.2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45729-2024</t>
        </is>
      </c>
      <c r="B185" s="1" t="n">
        <v>45579</v>
      </c>
      <c r="C185" s="1" t="n">
        <v>45585</v>
      </c>
      <c r="D185" t="inlineStr">
        <is>
          <t>SKÅNE LÄN</t>
        </is>
      </c>
      <c r="E185" t="inlineStr">
        <is>
          <t>TOMELILLA</t>
        </is>
      </c>
      <c r="G185" t="n">
        <v>10.1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>
      <c r="A186" t="inlineStr">
        <is>
          <t>A 46179-2024</t>
        </is>
      </c>
      <c r="B186" s="1" t="n">
        <v>45581</v>
      </c>
      <c r="C186" s="1" t="n">
        <v>45585</v>
      </c>
      <c r="D186" t="inlineStr">
        <is>
          <t>SKÅNE LÄN</t>
        </is>
      </c>
      <c r="E186" t="inlineStr">
        <is>
          <t>TOMELILLA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2024-10-20T12:15:56Z</dcterms:created>
  <dcterms:modified xmlns:dcterms="http://purl.org/dc/terms/" xmlns:xsi="http://www.w3.org/2001/XMLSchema-instance" xsi:type="dcterms:W3CDTF">2024-10-20T12:15:56Z</dcterms:modified>
</cp:coreProperties>
</file>