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46310</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46310</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46310</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46310</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46310</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46310</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46310</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46310</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46310</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46310</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46310</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2193-2022</t>
        </is>
      </c>
      <c r="B13" t="inlineStr">
        <is>
          <t>avverkningsanmälan</t>
        </is>
      </c>
      <c r="C13" t="inlineStr">
        <is>
          <t>Föryngringsavverkning</t>
        </is>
      </c>
      <c r="D13" s="1" t="n">
        <v>44578</v>
      </c>
      <c r="E13" s="1" t="n">
        <v>46310</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t="n">
        <v>1</v>
      </c>
      <c r="V13" s="2" t="inlineStr">
        <is>
          <t>Skogslysing</t>
        </is>
      </c>
      <c r="W13">
        <f>HYPERLINK("https://klasma.github.io/Logging_1270/artfynd/A 2193-2022 artfynd.xlsx", "A 2193-2022")</f>
        <v/>
      </c>
      <c r="X13">
        <f>HYPERLINK("https://klasma.github.io/Logging_1270/kartor/A 2193-2022 karta.png", "A 2193-2022")</f>
        <v/>
      </c>
      <c r="Y13">
        <f>HYPERLINK("https://klasma.github.io/Logging_1270/kartor_geotiff/A 2193-2022 georefererad karta.tif", "A 2193-2022")</f>
        <v/>
      </c>
      <c r="AA13">
        <f>HYPERLINK("https://klasma.github.io/Logging_1270/klagomål/A 2193-2022 FSC-klagomål.docx", "A 2193-2022")</f>
        <v/>
      </c>
      <c r="AB13">
        <f>HYPERLINK("https://klasma.github.io/Logging_1270/klagomålsmail/A 2193-2022 FSC-klagomål mail.docx", "A 2193-2022")</f>
        <v/>
      </c>
      <c r="AC13">
        <f>HYPERLINK("https://klasma.github.io/Logging_1270/tillsyn/A 2193-2022 tillsynsbegäran.docx", "A 2193-2022")</f>
        <v/>
      </c>
      <c r="AD13">
        <f>HYPERLINK("https://klasma.github.io/Logging_1270/tillsynsmail/A 2193-2022 tillsynsbegäran mail.docx", "A 2193-2022")</f>
        <v/>
      </c>
    </row>
    <row r="14" ht="15" customHeight="1">
      <c r="A14" t="inlineStr">
        <is>
          <t>A 6261-2024</t>
        </is>
      </c>
      <c r="B14" t="inlineStr">
        <is>
          <t>avverkningsanmälan</t>
        </is>
      </c>
      <c r="C14" t="inlineStr">
        <is>
          <t>Föryngringsavverkning</t>
        </is>
      </c>
      <c r="D14" s="1" t="n">
        <v>45337</v>
      </c>
      <c r="E14" s="1" t="n">
        <v>46310</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6261-2024</t>
        </is>
      </c>
      <c r="B15" t="inlineStr">
        <is>
          <t>avverkningsanmälan</t>
        </is>
      </c>
      <c r="C15" t="inlineStr">
        <is>
          <t>Föryngringsavverkning</t>
        </is>
      </c>
      <c r="D15" s="1" t="n">
        <v>45337</v>
      </c>
      <c r="E15" s="1" t="n">
        <v>46310</v>
      </c>
      <c r="F15" t="inlineStr">
        <is>
          <t>SKÅNE LÄN</t>
        </is>
      </c>
      <c r="G15" t="inlineStr">
        <is>
          <t>TOMELILLA</t>
        </is>
      </c>
      <c r="I15" t="n">
        <v>12.6</v>
      </c>
      <c r="J15" t="n">
        <v>0</v>
      </c>
      <c r="K15" t="n">
        <v>1</v>
      </c>
      <c r="L15" t="n">
        <v>0</v>
      </c>
      <c r="M15" t="n">
        <v>0</v>
      </c>
      <c r="N15" t="n">
        <v>0</v>
      </c>
      <c r="O15" t="n">
        <v>0</v>
      </c>
      <c r="P15" t="n">
        <v>0</v>
      </c>
      <c r="Q15" t="n">
        <v>0</v>
      </c>
      <c r="R15" t="n">
        <v>0</v>
      </c>
      <c r="S15" t="n">
        <v>1</v>
      </c>
      <c r="T15" t="n">
        <v>1</v>
      </c>
      <c r="U15" t="n">
        <v>1</v>
      </c>
      <c r="V15" s="2" t="inlineStr">
        <is>
          <t>Blodticka</t>
        </is>
      </c>
      <c r="W15">
        <f>HYPERLINK("https://klasma.github.io/Logging_1270/artfynd/A 6261-2024 artfynd.xlsx", "A 6261-2024")</f>
        <v/>
      </c>
      <c r="X15">
        <f>HYPERLINK("https://klasma.github.io/Logging_1270/kartor/A 6261-2024 karta.png", "A 6261-2024")</f>
        <v/>
      </c>
      <c r="Y15">
        <f>HYPERLINK("https://klasma.github.io/Logging_1270/kartor_geotiff/A 6261-2024 georefererad karta.tif", "A 6261-2024")</f>
        <v/>
      </c>
      <c r="AA15">
        <f>HYPERLINK("https://klasma.github.io/Logging_1270/klagomål/A 6261-2024 FSC-klagomål.docx", "A 6261-2024")</f>
        <v/>
      </c>
      <c r="AB15">
        <f>HYPERLINK("https://klasma.github.io/Logging_1270/klagomålsmail/A 6261-2024 FSC-klagomål mail.docx", "A 6261-2024")</f>
        <v/>
      </c>
      <c r="AC15">
        <f>HYPERLINK("https://klasma.github.io/Logging_1270/tillsyn/A 6261-2024 tillsynsbegäran.docx", "A 6261-2024")</f>
        <v/>
      </c>
      <c r="AD15">
        <f>HYPERLINK("https://klasma.github.io/Logging_1270/tillsynsmail/A 6261-2024 tillsynsbegäran mail.docx", "A 6261-2024")</f>
        <v/>
      </c>
    </row>
    <row r="16" ht="15" customHeight="1">
      <c r="A16" t="inlineStr">
        <is>
          <t>A 26958-2025</t>
        </is>
      </c>
      <c r="B16" t="inlineStr">
        <is>
          <t>avverkningsanmälan</t>
        </is>
      </c>
      <c r="C16" t="inlineStr">
        <is>
          <t>Föryngringsavverkning</t>
        </is>
      </c>
      <c r="D16" s="1" t="n">
        <v>45811</v>
      </c>
      <c r="E16" s="1" t="n">
        <v>46310</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49813-2025</t>
        </is>
      </c>
      <c r="B17" t="inlineStr">
        <is>
          <t>avverkningsanmälan</t>
        </is>
      </c>
      <c r="C17" t="inlineStr">
        <is>
          <t>Föryngringsavverkning</t>
        </is>
      </c>
      <c r="D17" s="1" t="n">
        <v>45940</v>
      </c>
      <c r="E17" s="1" t="n">
        <v>46310</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46310</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6262-2024</t>
        </is>
      </c>
      <c r="B19" t="inlineStr">
        <is>
          <t>avverkningsanmälan</t>
        </is>
      </c>
      <c r="C19" t="inlineStr">
        <is>
          <t>Föryngringsavverkning</t>
        </is>
      </c>
      <c r="D19" s="1" t="n">
        <v>45337</v>
      </c>
      <c r="E19" s="1" t="n">
        <v>46310</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60820-2023</t>
        </is>
      </c>
      <c r="B20" t="inlineStr">
        <is>
          <t>avverkningsanmälan</t>
        </is>
      </c>
      <c r="C20" t="inlineStr">
        <is>
          <t>Föryngringsavverkning</t>
        </is>
      </c>
      <c r="D20" s="1" t="n">
        <v>45260</v>
      </c>
      <c r="E20" s="1" t="n">
        <v>46310</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28862-2023</t>
        </is>
      </c>
      <c r="B21" t="inlineStr">
        <is>
          <t>avverkningsanmälan</t>
        </is>
      </c>
      <c r="C21" t="inlineStr">
        <is>
          <t>Föryngringsavverkning</t>
        </is>
      </c>
      <c r="D21" s="1" t="n">
        <v>45104</v>
      </c>
      <c r="E21" s="1" t="n">
        <v>46310</v>
      </c>
      <c r="F21" t="inlineStr">
        <is>
          <t>SKÅNE LÄN</t>
        </is>
      </c>
      <c r="G21" t="inlineStr">
        <is>
          <t>TOMELILLA</t>
        </is>
      </c>
      <c r="H21" t="inlineStr">
        <is>
          <t>Övriga Aktiebolag</t>
        </is>
      </c>
      <c r="I21" t="n">
        <v>6.6</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28862-2023 artfynd.xlsx", "A 28862-2023")</f>
        <v/>
      </c>
      <c r="X21">
        <f>HYPERLINK("https://klasma.github.io/Logging_1270/kartor/A 28862-2023 karta.png", "A 28862-2023")</f>
        <v/>
      </c>
      <c r="Y21">
        <f>HYPERLINK("https://klasma.github.io/Logging_1270/kartor_geotiff/A 28862-2023 georefererad karta.tif", "A 28862-2023")</f>
        <v/>
      </c>
      <c r="AA21">
        <f>HYPERLINK("https://klasma.github.io/Logging_1270/klagomål/A 28862-2023 FSC-klagomål.docx", "A 28862-2023")</f>
        <v/>
      </c>
      <c r="AB21">
        <f>HYPERLINK("https://klasma.github.io/Logging_1270/klagomålsmail/A 28862-2023 FSC-klagomål mail.docx", "A 28862-2023")</f>
        <v/>
      </c>
      <c r="AC21">
        <f>HYPERLINK("https://klasma.github.io/Logging_1270/tillsyn/A 28862-2023 tillsynsbegäran.docx", "A 28862-2023")</f>
        <v/>
      </c>
      <c r="AD21">
        <f>HYPERLINK("https://klasma.github.io/Logging_1270/tillsynsmail/A 28862-2023 tillsynsbegäran mail.docx", "A 28862-2023")</f>
        <v/>
      </c>
    </row>
    <row r="22" ht="15" customHeight="1">
      <c r="A22" t="inlineStr">
        <is>
          <t>A 20397-2026</t>
        </is>
      </c>
      <c r="B22" t="inlineStr">
        <is>
          <t>avverkningsanmälan</t>
        </is>
      </c>
      <c r="C22" t="inlineStr">
        <is>
          <t>Föryngringsavverkning</t>
        </is>
      </c>
      <c r="D22" s="1" t="n">
        <v>46139</v>
      </c>
      <c r="E22" s="1" t="n">
        <v>46310</v>
      </c>
      <c r="F22" t="inlineStr">
        <is>
          <t>SKÅNE LÄN</t>
        </is>
      </c>
      <c r="G22" t="inlineStr">
        <is>
          <t>TOMELILLA</t>
        </is>
      </c>
      <c r="I22" t="n">
        <v>4.2</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20397-2026 artfynd.xlsx", "A 20397-2026")</f>
        <v/>
      </c>
      <c r="X22">
        <f>HYPERLINK("https://klasma.github.io/Logging_1270/kartor/A 20397-2026 karta.png", "A 20397-2026")</f>
        <v/>
      </c>
      <c r="Y22">
        <f>HYPERLINK("https://klasma.github.io/Logging_1270/kartor_geotiff/A 20397-2026 georefererad karta.tif", "A 20397-2026")</f>
        <v/>
      </c>
      <c r="AA22">
        <f>HYPERLINK("https://klasma.github.io/Logging_1270/klagomål/A 20397-2026 FSC-klagomål.docx", "A 20397-2026")</f>
        <v/>
      </c>
      <c r="AB22">
        <f>HYPERLINK("https://klasma.github.io/Logging_1270/klagomålsmail/A 20397-2026 FSC-klagomål mail.docx", "A 20397-2026")</f>
        <v/>
      </c>
      <c r="AC22">
        <f>HYPERLINK("https://klasma.github.io/Logging_1270/tillsyn/A 20397-2026 tillsynsbegäran.docx", "A 20397-2026")</f>
        <v/>
      </c>
      <c r="AD22">
        <f>HYPERLINK("https://klasma.github.io/Logging_1270/tillsynsmail/A 20397-2026 tillsynsbegäran mail.docx", "A 20397-2026")</f>
        <v/>
      </c>
    </row>
    <row r="23" ht="15" customHeight="1">
      <c r="A23" t="inlineStr">
        <is>
          <t>A 756-2024</t>
        </is>
      </c>
      <c r="B23" t="inlineStr">
        <is>
          <t>avverkningsanmälan</t>
        </is>
      </c>
      <c r="C23" t="inlineStr">
        <is>
          <t>Föryngringsavverkning</t>
        </is>
      </c>
      <c r="D23" s="1" t="n">
        <v>45300</v>
      </c>
      <c r="E23" s="1" t="n">
        <v>46310</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32949-2026</t>
        </is>
      </c>
      <c r="B24" t="inlineStr">
        <is>
          <t>avverkningsanmälan</t>
        </is>
      </c>
      <c r="C24" t="inlineStr">
        <is>
          <t>Föryngringsavverkning</t>
        </is>
      </c>
      <c r="D24" s="1" t="n">
        <v>46244</v>
      </c>
      <c r="E24" s="1" t="n">
        <v>46310</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42387-2022</t>
        </is>
      </c>
      <c r="B25" t="inlineStr">
        <is>
          <t>avverkningsanmälan</t>
        </is>
      </c>
      <c r="C25" t="inlineStr">
        <is>
          <t>Föryngringsavverkning</t>
        </is>
      </c>
      <c r="D25" s="1" t="n">
        <v>44830</v>
      </c>
      <c r="E25" s="1" t="n">
        <v>46310</v>
      </c>
      <c r="F25" t="inlineStr">
        <is>
          <t>SKÅNE LÄN</t>
        </is>
      </c>
      <c r="G25" t="inlineStr">
        <is>
          <t>TOMELILLA</t>
        </is>
      </c>
      <c r="I25" t="n">
        <v>1.1</v>
      </c>
      <c r="J25" t="n">
        <v>0</v>
      </c>
      <c r="K25" t="n">
        <v>0</v>
      </c>
      <c r="L25" t="n">
        <v>1</v>
      </c>
      <c r="M25" t="n">
        <v>0</v>
      </c>
      <c r="N25" t="n">
        <v>0</v>
      </c>
      <c r="O25" t="n">
        <v>0</v>
      </c>
      <c r="P25" t="n">
        <v>0</v>
      </c>
      <c r="Q25" t="n">
        <v>1</v>
      </c>
      <c r="R25" t="n">
        <v>0</v>
      </c>
      <c r="S25" t="n">
        <v>1</v>
      </c>
      <c r="T25" t="n">
        <v>1</v>
      </c>
      <c r="U25" t="n">
        <v>0</v>
      </c>
      <c r="V25" s="2" t="inlineStr">
        <is>
          <t>Gullpudra</t>
        </is>
      </c>
      <c r="W25">
        <f>HYPERLINK("https://klasma.github.io/Logging_1270/artfynd/A 42387-2022 artfynd.xlsx", "A 42387-2022")</f>
        <v/>
      </c>
      <c r="X25">
        <f>HYPERLINK("https://klasma.github.io/Logging_1270/kartor/A 42387-2022 karta.png", "A 42387-2022")</f>
        <v/>
      </c>
      <c r="Y25">
        <f>HYPERLINK("https://klasma.github.io/Logging_1270/kartor_geotiff/A 42387-2022 georefererad karta.tif", "A 42387-2022")</f>
        <v/>
      </c>
      <c r="AA25">
        <f>HYPERLINK("https://klasma.github.io/Logging_1270/klagomål/A 42387-2022 FSC-klagomål.docx", "A 42387-2022")</f>
        <v/>
      </c>
      <c r="AB25">
        <f>HYPERLINK("https://klasma.github.io/Logging_1270/klagomålsmail/A 42387-2022 FSC-klagomål mail.docx", "A 42387-2022")</f>
        <v/>
      </c>
      <c r="AC25">
        <f>HYPERLINK("https://klasma.github.io/Logging_1270/tillsyn/A 42387-2022 tillsynsbegäran.docx", "A 42387-2022")</f>
        <v/>
      </c>
      <c r="AD25">
        <f>HYPERLINK("https://klasma.github.io/Logging_1270/tillsynsmail/A 42387-2022 tillsynsbegäran mail.docx", "A 42387-2022")</f>
        <v/>
      </c>
    </row>
    <row r="26" ht="15" customHeight="1">
      <c r="A26" t="inlineStr">
        <is>
          <t>A 26823-2026</t>
        </is>
      </c>
      <c r="B26" t="inlineStr">
        <is>
          <t>avverkningsanmälan</t>
        </is>
      </c>
      <c r="C26" t="inlineStr">
        <is>
          <t>Föryngringsavverkning</t>
        </is>
      </c>
      <c r="D26" s="1" t="n">
        <v>46183</v>
      </c>
      <c r="E26" s="1" t="n">
        <v>46310</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17907-2024</t>
        </is>
      </c>
      <c r="B27" t="inlineStr">
        <is>
          <t>avverkningsanmälan</t>
        </is>
      </c>
      <c r="C27" t="inlineStr">
        <is>
          <t>Föryngringsavverkning</t>
        </is>
      </c>
      <c r="D27" s="1" t="n">
        <v>45419</v>
      </c>
      <c r="E27" s="1" t="n">
        <v>46310</v>
      </c>
      <c r="F27" t="inlineStr">
        <is>
          <t>SKÅNE LÄN</t>
        </is>
      </c>
      <c r="G27" t="inlineStr">
        <is>
          <t>TOMELILLA</t>
        </is>
      </c>
      <c r="I27" t="n">
        <v>3.1</v>
      </c>
      <c r="J27" t="n">
        <v>0</v>
      </c>
      <c r="K27" t="n">
        <v>0</v>
      </c>
      <c r="L27" t="n">
        <v>0</v>
      </c>
      <c r="M27" t="n">
        <v>0</v>
      </c>
      <c r="N27" t="n">
        <v>0</v>
      </c>
      <c r="O27" t="n">
        <v>0</v>
      </c>
      <c r="P27" t="n">
        <v>0</v>
      </c>
      <c r="Q27" t="n">
        <v>0</v>
      </c>
      <c r="R27" t="n">
        <v>0</v>
      </c>
      <c r="S27" t="n">
        <v>1</v>
      </c>
      <c r="T27" t="n">
        <v>1</v>
      </c>
      <c r="U27" t="n">
        <v>1</v>
      </c>
      <c r="V27" s="2" t="inlineStr">
        <is>
          <t>Gulplister</t>
        </is>
      </c>
      <c r="W27">
        <f>HYPERLINK("https://klasma.github.io/Logging_1270/artfynd/A 17907-2024 artfynd.xlsx", "A 17907-2024")</f>
        <v/>
      </c>
      <c r="X27">
        <f>HYPERLINK("https://klasma.github.io/Logging_1270/kartor/A 17907-2024 karta.png", "A 17907-2024")</f>
        <v/>
      </c>
      <c r="Y27">
        <f>HYPERLINK("https://klasma.github.io/Logging_1270/kartor_geotiff/A 17907-2024 georefererad karta.tif", "A 17907-2024")</f>
        <v/>
      </c>
      <c r="AA27">
        <f>HYPERLINK("https://klasma.github.io/Logging_1270/klagomål/A 17907-2024 FSC-klagomål.docx", "A 17907-2024")</f>
        <v/>
      </c>
      <c r="AB27">
        <f>HYPERLINK("https://klasma.github.io/Logging_1270/klagomålsmail/A 17907-2024 FSC-klagomål mail.docx", "A 17907-2024")</f>
        <v/>
      </c>
      <c r="AC27">
        <f>HYPERLINK("https://klasma.github.io/Logging_1270/tillsyn/A 17907-2024 tillsynsbegäran.docx", "A 17907-2024")</f>
        <v/>
      </c>
      <c r="AD27">
        <f>HYPERLINK("https://klasma.github.io/Logging_1270/tillsynsmail/A 17907-2024 tillsynsbegäran mail.docx", "A 17907-2024")</f>
        <v/>
      </c>
    </row>
    <row r="28" ht="15" customHeight="1">
      <c r="A28" t="inlineStr">
        <is>
          <t>S 2622-2026</t>
        </is>
      </c>
      <c r="B28" t="inlineStr">
        <is>
          <t>samrådsanmälan</t>
        </is>
      </c>
      <c r="C28" t="inlineStr">
        <is>
          <t>Annan skogsbruksåtgärd</t>
        </is>
      </c>
      <c r="D28" s="1" t="n">
        <v>46302</v>
      </c>
      <c r="E28" s="1" t="n">
        <v>46310</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46310</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46310</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59131-2021</t>
        </is>
      </c>
      <c r="B31" t="inlineStr">
        <is>
          <t>avverkningsanmälan</t>
        </is>
      </c>
      <c r="C31" t="inlineStr">
        <is>
          <t>Föryngringsavverkning</t>
        </is>
      </c>
      <c r="D31" s="1" t="n">
        <v>44490</v>
      </c>
      <c r="E31" s="1" t="n">
        <v>46310</v>
      </c>
      <c r="F31" t="inlineStr">
        <is>
          <t>SKÅNE LÄN</t>
        </is>
      </c>
      <c r="G31" t="inlineStr">
        <is>
          <t>TOMELILLA</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19651-2022</t>
        </is>
      </c>
      <c r="B32" t="inlineStr">
        <is>
          <t>avverkningsanmälan</t>
        </is>
      </c>
      <c r="C32" t="inlineStr">
        <is>
          <t>Föryngringsavverkning</t>
        </is>
      </c>
      <c r="D32" s="1" t="n">
        <v>44694</v>
      </c>
      <c r="E32" s="1" t="n">
        <v>46310</v>
      </c>
      <c r="F32" t="inlineStr">
        <is>
          <t>SKÅNE LÄN</t>
        </is>
      </c>
      <c r="G32" t="inlineStr">
        <is>
          <t>TOMELILLA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15197-2022</t>
        </is>
      </c>
      <c r="B33" t="inlineStr">
        <is>
          <t>avverkningsanmälan</t>
        </is>
      </c>
      <c r="C33" t="inlineStr">
        <is>
          <t>Föryngringsavverkning</t>
        </is>
      </c>
      <c r="D33" s="1" t="n">
        <v>44658</v>
      </c>
      <c r="E33" s="1" t="n">
        <v>46310</v>
      </c>
      <c r="F33" t="inlineStr">
        <is>
          <t>SKÅNE LÄN</t>
        </is>
      </c>
      <c r="G33" t="inlineStr">
        <is>
          <t>TOMELILLA</t>
        </is>
      </c>
      <c r="H33" t="inlineStr">
        <is>
          <t>Övriga Aktiebolag</t>
        </is>
      </c>
      <c r="I33" t="n">
        <v>4.9</v>
      </c>
      <c r="J33" t="n">
        <v>0</v>
      </c>
      <c r="K33" t="n">
        <v>0</v>
      </c>
      <c r="L33" t="n">
        <v>0</v>
      </c>
      <c r="M33" t="n">
        <v>0</v>
      </c>
      <c r="N33" t="n">
        <v>0</v>
      </c>
      <c r="O33" t="n">
        <v>0</v>
      </c>
      <c r="P33" t="n">
        <v>0</v>
      </c>
      <c r="Q33" t="n">
        <v>0</v>
      </c>
      <c r="R33" t="n">
        <v>0</v>
      </c>
      <c r="S33" t="n">
        <v>0</v>
      </c>
      <c r="T33" t="n">
        <v>0</v>
      </c>
      <c r="U33" t="n">
        <v>0</v>
      </c>
      <c r="V33" s="2" t="inlineStr"/>
    </row>
    <row r="34" ht="15" customHeight="1">
      <c r="A34" t="inlineStr">
        <is>
          <t>A 12919-2022</t>
        </is>
      </c>
      <c r="B34" t="inlineStr">
        <is>
          <t>avverkningsanmälan</t>
        </is>
      </c>
      <c r="C34" t="inlineStr">
        <is>
          <t>Föryngringsavverkning</t>
        </is>
      </c>
      <c r="D34" s="1" t="n">
        <v>44642</v>
      </c>
      <c r="E34" s="1" t="n">
        <v>46310</v>
      </c>
      <c r="F34" t="inlineStr">
        <is>
          <t>SKÅNE LÄN</t>
        </is>
      </c>
      <c r="G34" t="inlineStr">
        <is>
          <t>TOMELILLA</t>
        </is>
      </c>
      <c r="H34" t="inlineStr">
        <is>
          <t>Övriga Aktiebolag</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23461-2022</t>
        </is>
      </c>
      <c r="B35" t="inlineStr">
        <is>
          <t>avverkningsanmälan</t>
        </is>
      </c>
      <c r="C35" t="inlineStr">
        <is>
          <t>Föryngringsavverkning</t>
        </is>
      </c>
      <c r="D35" s="1" t="n">
        <v>44721</v>
      </c>
      <c r="E35" s="1" t="n">
        <v>46310</v>
      </c>
      <c r="F35" t="inlineStr">
        <is>
          <t>SKÅNE LÄN</t>
        </is>
      </c>
      <c r="G35" t="inlineStr">
        <is>
          <t>TOMELILLA</t>
        </is>
      </c>
      <c r="H35" t="inlineStr">
        <is>
          <t>Övriga Aktiebolag</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4188-2024</t>
        </is>
      </c>
      <c r="B36" t="inlineStr">
        <is>
          <t>avverkningsanmälan</t>
        </is>
      </c>
      <c r="C36" t="inlineStr">
        <is>
          <t>Föryngringsavverkning</t>
        </is>
      </c>
      <c r="D36" s="1" t="n">
        <v>45324</v>
      </c>
      <c r="E36" s="1" t="n">
        <v>46310</v>
      </c>
      <c r="F36" t="inlineStr">
        <is>
          <t>SKÅNE LÄN</t>
        </is>
      </c>
      <c r="G36" t="inlineStr">
        <is>
          <t>TOMELILLA</t>
        </is>
      </c>
      <c r="H36" t="inlineStr">
        <is>
          <t>Övriga Aktiebolag</t>
        </is>
      </c>
      <c r="I36" t="n">
        <v>9.6</v>
      </c>
      <c r="J36" t="n">
        <v>0</v>
      </c>
      <c r="K36" t="n">
        <v>0</v>
      </c>
      <c r="L36" t="n">
        <v>0</v>
      </c>
      <c r="M36" t="n">
        <v>0</v>
      </c>
      <c r="N36" t="n">
        <v>0</v>
      </c>
      <c r="O36" t="n">
        <v>0</v>
      </c>
      <c r="P36" t="n">
        <v>0</v>
      </c>
      <c r="Q36" t="n">
        <v>0</v>
      </c>
      <c r="R36" t="n">
        <v>0</v>
      </c>
      <c r="S36" t="n">
        <v>0</v>
      </c>
      <c r="T36" t="n">
        <v>0</v>
      </c>
      <c r="U36" t="n">
        <v>0</v>
      </c>
      <c r="V36" s="2" t="inlineStr"/>
    </row>
    <row r="37" ht="15" customHeight="1">
      <c r="A37" t="inlineStr">
        <is>
          <t>A 2190-2022</t>
        </is>
      </c>
      <c r="B37" t="inlineStr">
        <is>
          <t>avverkningsanmälan</t>
        </is>
      </c>
      <c r="C37" t="inlineStr">
        <is>
          <t>Föryngringsavverkning</t>
        </is>
      </c>
      <c r="D37" s="1" t="n">
        <v>44578</v>
      </c>
      <c r="E37" s="1" t="n">
        <v>46310</v>
      </c>
      <c r="F37" t="inlineStr">
        <is>
          <t>SKÅNE LÄN</t>
        </is>
      </c>
      <c r="G37" t="inlineStr">
        <is>
          <t>TOMELILLA</t>
        </is>
      </c>
      <c r="H37" t="inlineStr">
        <is>
          <t>Sveaskog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17760-2025</t>
        </is>
      </c>
      <c r="B38" t="inlineStr">
        <is>
          <t>avverkningsanmälan</t>
        </is>
      </c>
      <c r="C38" t="inlineStr">
        <is>
          <t>Föryngringsavverkning</t>
        </is>
      </c>
      <c r="D38" s="1" t="n">
        <v>45758</v>
      </c>
      <c r="E38" s="1" t="n">
        <v>46310</v>
      </c>
      <c r="F38" t="inlineStr">
        <is>
          <t>SKÅNE LÄN</t>
        </is>
      </c>
      <c r="G38" t="inlineStr">
        <is>
          <t>TOMELILLA</t>
        </is>
      </c>
      <c r="I38" t="n">
        <v>3.7</v>
      </c>
      <c r="J38" t="n">
        <v>0</v>
      </c>
      <c r="K38" t="n">
        <v>0</v>
      </c>
      <c r="L38" t="n">
        <v>0</v>
      </c>
      <c r="M38" t="n">
        <v>0</v>
      </c>
      <c r="N38" t="n">
        <v>0</v>
      </c>
      <c r="O38" t="n">
        <v>0</v>
      </c>
      <c r="P38" t="n">
        <v>0</v>
      </c>
      <c r="Q38" t="n">
        <v>0</v>
      </c>
      <c r="R38" t="n">
        <v>0</v>
      </c>
      <c r="S38" t="n">
        <v>0</v>
      </c>
      <c r="T38" t="n">
        <v>0</v>
      </c>
      <c r="U38" t="n">
        <v>0</v>
      </c>
      <c r="V38" s="2" t="inlineStr"/>
    </row>
    <row r="39" ht="15" customHeight="1">
      <c r="A39" t="inlineStr">
        <is>
          <t>A 53977-2022</t>
        </is>
      </c>
      <c r="B39" t="inlineStr">
        <is>
          <t>avverkningsanmälan</t>
        </is>
      </c>
      <c r="C39" t="inlineStr">
        <is>
          <t>Föryngringsavverkning</t>
        </is>
      </c>
      <c r="D39" s="1" t="n">
        <v>44876</v>
      </c>
      <c r="E39" s="1" t="n">
        <v>46310</v>
      </c>
      <c r="F39" t="inlineStr">
        <is>
          <t>SKÅNE LÄN</t>
        </is>
      </c>
      <c r="G39" t="inlineStr">
        <is>
          <t>TOMELILLA</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45729-2024</t>
        </is>
      </c>
      <c r="B40" t="inlineStr">
        <is>
          <t>avverkningsanmälan</t>
        </is>
      </c>
      <c r="C40" t="inlineStr">
        <is>
          <t>Föryngringsavverkning</t>
        </is>
      </c>
      <c r="D40" s="1" t="n">
        <v>45579</v>
      </c>
      <c r="E40" s="1" t="n">
        <v>46310</v>
      </c>
      <c r="F40" t="inlineStr">
        <is>
          <t>SKÅNE LÄN</t>
        </is>
      </c>
      <c r="G40" t="inlineStr">
        <is>
          <t>TOMELILLA</t>
        </is>
      </c>
      <c r="I40" t="n">
        <v>10.1</v>
      </c>
      <c r="J40" t="n">
        <v>0</v>
      </c>
      <c r="K40" t="n">
        <v>0</v>
      </c>
      <c r="L40" t="n">
        <v>0</v>
      </c>
      <c r="M40" t="n">
        <v>0</v>
      </c>
      <c r="N40" t="n">
        <v>0</v>
      </c>
      <c r="O40" t="n">
        <v>0</v>
      </c>
      <c r="P40" t="n">
        <v>0</v>
      </c>
      <c r="Q40" t="n">
        <v>0</v>
      </c>
      <c r="R40" t="n">
        <v>0</v>
      </c>
      <c r="S40" t="n">
        <v>0</v>
      </c>
      <c r="T40" t="n">
        <v>0</v>
      </c>
      <c r="U40" t="n">
        <v>0</v>
      </c>
      <c r="V40" s="2" t="inlineStr"/>
    </row>
    <row r="41" ht="15" customHeight="1">
      <c r="A41" t="inlineStr">
        <is>
          <t>A 12903-2024</t>
        </is>
      </c>
      <c r="B41" t="inlineStr">
        <is>
          <t>avverkningsanmälan</t>
        </is>
      </c>
      <c r="C41" t="inlineStr">
        <is>
          <t>Föryngringsavverkning</t>
        </is>
      </c>
      <c r="D41" s="1" t="n">
        <v>45385</v>
      </c>
      <c r="E41" s="1" t="n">
        <v>46310</v>
      </c>
      <c r="F41" t="inlineStr">
        <is>
          <t>SKÅNE LÄN</t>
        </is>
      </c>
      <c r="G41" t="inlineStr">
        <is>
          <t>TOMELILLA</t>
        </is>
      </c>
      <c r="I41" t="n">
        <v>9.199999999999999</v>
      </c>
      <c r="J41" t="n">
        <v>0</v>
      </c>
      <c r="K41" t="n">
        <v>0</v>
      </c>
      <c r="L41" t="n">
        <v>0</v>
      </c>
      <c r="M41" t="n">
        <v>0</v>
      </c>
      <c r="N41" t="n">
        <v>0</v>
      </c>
      <c r="O41" t="n">
        <v>0</v>
      </c>
      <c r="P41" t="n">
        <v>0</v>
      </c>
      <c r="Q41" t="n">
        <v>0</v>
      </c>
      <c r="R41" t="n">
        <v>0</v>
      </c>
      <c r="S41" t="n">
        <v>0</v>
      </c>
      <c r="T41" t="n">
        <v>0</v>
      </c>
      <c r="U41" t="n">
        <v>0</v>
      </c>
      <c r="V41" s="2" t="inlineStr"/>
    </row>
    <row r="42" ht="15" customHeight="1">
      <c r="A42" t="inlineStr">
        <is>
          <t>A 38787-2024</t>
        </is>
      </c>
      <c r="B42" t="inlineStr">
        <is>
          <t>avverkningsanmälan</t>
        </is>
      </c>
      <c r="C42" t="inlineStr">
        <is>
          <t>Föryngringsavverkning</t>
        </is>
      </c>
      <c r="D42" s="1" t="n">
        <v>45547</v>
      </c>
      <c r="E42" s="1" t="n">
        <v>46310</v>
      </c>
      <c r="F42" t="inlineStr">
        <is>
          <t>SKÅNE LÄN</t>
        </is>
      </c>
      <c r="G42" t="inlineStr">
        <is>
          <t>TOMELILLA</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36180-2024</t>
        </is>
      </c>
      <c r="B43" t="inlineStr">
        <is>
          <t>avverkningsanmälan</t>
        </is>
      </c>
      <c r="C43" t="inlineStr">
        <is>
          <t>Föryngringsavverkning</t>
        </is>
      </c>
      <c r="D43" s="1" t="n">
        <v>45534</v>
      </c>
      <c r="E43" s="1" t="n">
        <v>46310</v>
      </c>
      <c r="F43" t="inlineStr">
        <is>
          <t>SKÅNE LÄN</t>
        </is>
      </c>
      <c r="G43" t="inlineStr">
        <is>
          <t>TOMELILLA</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17151-2024</t>
        </is>
      </c>
      <c r="B44" t="inlineStr">
        <is>
          <t>avverkningsanmälan</t>
        </is>
      </c>
      <c r="C44" t="inlineStr">
        <is>
          <t>Föryngringsavverkning</t>
        </is>
      </c>
      <c r="D44" s="1" t="n">
        <v>45412</v>
      </c>
      <c r="E44" s="1" t="n">
        <v>46310</v>
      </c>
      <c r="F44" t="inlineStr">
        <is>
          <t>SKÅNE LÄN</t>
        </is>
      </c>
      <c r="G44" t="inlineStr">
        <is>
          <t>TOMELILLA</t>
        </is>
      </c>
      <c r="H44" t="inlineStr">
        <is>
          <t>Övriga Aktiebolag</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11811-2025</t>
        </is>
      </c>
      <c r="B45" t="inlineStr">
        <is>
          <t>avverkningsanmälan</t>
        </is>
      </c>
      <c r="C45" t="inlineStr">
        <is>
          <t>Föryngringsavverkning</t>
        </is>
      </c>
      <c r="D45" s="1" t="n">
        <v>45727</v>
      </c>
      <c r="E45" s="1" t="n">
        <v>46310</v>
      </c>
      <c r="F45" t="inlineStr">
        <is>
          <t>SKÅNE LÄN</t>
        </is>
      </c>
      <c r="G45" t="inlineStr">
        <is>
          <t>TOMELILLA</t>
        </is>
      </c>
      <c r="I45" t="n">
        <v>9.699999999999999</v>
      </c>
      <c r="J45" t="n">
        <v>0</v>
      </c>
      <c r="K45" t="n">
        <v>0</v>
      </c>
      <c r="L45" t="n">
        <v>0</v>
      </c>
      <c r="M45" t="n">
        <v>0</v>
      </c>
      <c r="N45" t="n">
        <v>0</v>
      </c>
      <c r="O45" t="n">
        <v>0</v>
      </c>
      <c r="P45" t="n">
        <v>0</v>
      </c>
      <c r="Q45" t="n">
        <v>0</v>
      </c>
      <c r="R45" t="n">
        <v>0</v>
      </c>
      <c r="S45" t="n">
        <v>0</v>
      </c>
      <c r="T45" t="n">
        <v>0</v>
      </c>
      <c r="U45" t="n">
        <v>0</v>
      </c>
      <c r="V45" s="2" t="inlineStr"/>
    </row>
    <row r="46" ht="15" customHeight="1">
      <c r="A46" t="inlineStr">
        <is>
          <t>A 30040-2024</t>
        </is>
      </c>
      <c r="B46" t="inlineStr">
        <is>
          <t>avverkningsanmälan</t>
        </is>
      </c>
      <c r="C46" t="inlineStr">
        <is>
          <t>Avverkning för annat ändamål</t>
        </is>
      </c>
      <c r="D46" s="1" t="n">
        <v>45488</v>
      </c>
      <c r="E46" s="1" t="n">
        <v>46310</v>
      </c>
      <c r="F46" t="inlineStr">
        <is>
          <t>SKÅNE LÄN</t>
        </is>
      </c>
      <c r="G46" t="inlineStr">
        <is>
          <t>TOMELILLA</t>
        </is>
      </c>
      <c r="I46" t="n">
        <v>4.3</v>
      </c>
      <c r="J46" t="n">
        <v>0</v>
      </c>
      <c r="K46" t="n">
        <v>0</v>
      </c>
      <c r="L46" t="n">
        <v>0</v>
      </c>
      <c r="M46" t="n">
        <v>0</v>
      </c>
      <c r="N46" t="n">
        <v>0</v>
      </c>
      <c r="O46" t="n">
        <v>0</v>
      </c>
      <c r="P46" t="n">
        <v>0</v>
      </c>
      <c r="Q46" t="n">
        <v>0</v>
      </c>
      <c r="R46" t="n">
        <v>0</v>
      </c>
      <c r="S46" t="n">
        <v>0</v>
      </c>
      <c r="T46" t="n">
        <v>0</v>
      </c>
      <c r="U46" t="n">
        <v>0</v>
      </c>
      <c r="V46" s="2" t="inlineStr"/>
    </row>
    <row r="47" ht="15" customHeight="1">
      <c r="A47" t="inlineStr">
        <is>
          <t>A 15158-2025</t>
        </is>
      </c>
      <c r="B47" t="inlineStr">
        <is>
          <t>avverkningsanmälan</t>
        </is>
      </c>
      <c r="C47" t="inlineStr">
        <is>
          <t>Föryngringsavverkning</t>
        </is>
      </c>
      <c r="D47" s="1" t="n">
        <v>45744</v>
      </c>
      <c r="E47" s="1" t="n">
        <v>46310</v>
      </c>
      <c r="F47" t="inlineStr">
        <is>
          <t>SKÅNE LÄN</t>
        </is>
      </c>
      <c r="G47" t="inlineStr">
        <is>
          <t>TOMELILLA</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35792-2025</t>
        </is>
      </c>
      <c r="B48" t="inlineStr">
        <is>
          <t>avverkningsanmälan</t>
        </is>
      </c>
      <c r="C48" t="inlineStr">
        <is>
          <t>Föryngringsavverkning</t>
        </is>
      </c>
      <c r="D48" s="1" t="n">
        <v>45861</v>
      </c>
      <c r="E48" s="1" t="n">
        <v>46310</v>
      </c>
      <c r="F48" t="inlineStr">
        <is>
          <t>SKÅNE LÄN</t>
        </is>
      </c>
      <c r="G48" t="inlineStr">
        <is>
          <t>TOMELILLA</t>
        </is>
      </c>
      <c r="H48" t="inlineStr">
        <is>
          <t>Övriga Aktiebolag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35971-2025</t>
        </is>
      </c>
      <c r="B49" t="inlineStr">
        <is>
          <t>avverkningsanmälan</t>
        </is>
      </c>
      <c r="C49" t="inlineStr">
        <is>
          <t>Föryngringsavverkning</t>
        </is>
      </c>
      <c r="D49" s="1" t="n">
        <v>45863</v>
      </c>
      <c r="E49" s="1" t="n">
        <v>46310</v>
      </c>
      <c r="F49" t="inlineStr">
        <is>
          <t>SKÅNE LÄN</t>
        </is>
      </c>
      <c r="G49" t="inlineStr">
        <is>
          <t>TOMELILLA</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43306-2025</t>
        </is>
      </c>
      <c r="B50" t="inlineStr">
        <is>
          <t>avverkningsanmälan</t>
        </is>
      </c>
      <c r="C50" t="inlineStr">
        <is>
          <t>Föryngringsavverkning</t>
        </is>
      </c>
      <c r="D50" s="1" t="n">
        <v>45910</v>
      </c>
      <c r="E50" s="1" t="n">
        <v>46310</v>
      </c>
      <c r="F50" t="inlineStr">
        <is>
          <t>SKÅNE LÄN</t>
        </is>
      </c>
      <c r="G50" t="inlineStr">
        <is>
          <t>TOMELILLA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2548-2024</t>
        </is>
      </c>
      <c r="B51" t="inlineStr">
        <is>
          <t>avverkningsanmälan</t>
        </is>
      </c>
      <c r="C51" t="inlineStr">
        <is>
          <t>Föryngringsavverkning</t>
        </is>
      </c>
      <c r="D51" s="1" t="n">
        <v>45313</v>
      </c>
      <c r="E51" s="1" t="n">
        <v>46310</v>
      </c>
      <c r="F51" t="inlineStr">
        <is>
          <t>SKÅNE LÄN</t>
        </is>
      </c>
      <c r="G51" t="inlineStr">
        <is>
          <t>TOMELILLA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13159-2024</t>
        </is>
      </c>
      <c r="B52" t="inlineStr">
        <is>
          <t>avverkningsanmälan</t>
        </is>
      </c>
      <c r="C52" t="inlineStr">
        <is>
          <t>Föryngringsavverkning</t>
        </is>
      </c>
      <c r="D52" s="1" t="n">
        <v>45386</v>
      </c>
      <c r="E52" s="1" t="n">
        <v>46310</v>
      </c>
      <c r="F52" t="inlineStr">
        <is>
          <t>SKÅNE LÄN</t>
        </is>
      </c>
      <c r="G52" t="inlineStr">
        <is>
          <t>TOMELILLA</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2555-2022</t>
        </is>
      </c>
      <c r="B53" t="inlineStr">
        <is>
          <t>avverkningsanmälan</t>
        </is>
      </c>
      <c r="C53" t="inlineStr">
        <is>
          <t>Föryngringsavverkning</t>
        </is>
      </c>
      <c r="D53" s="1" t="n">
        <v>44579</v>
      </c>
      <c r="E53" s="1" t="n">
        <v>46310</v>
      </c>
      <c r="F53" t="inlineStr">
        <is>
          <t>SKÅNE LÄN</t>
        </is>
      </c>
      <c r="G53" t="inlineStr">
        <is>
          <t>TOMELILLA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743-2024</t>
        </is>
      </c>
      <c r="B54" t="inlineStr">
        <is>
          <t>avverkningsanmälan</t>
        </is>
      </c>
      <c r="C54" t="inlineStr">
        <is>
          <t>Föryngringsavverkning</t>
        </is>
      </c>
      <c r="D54" s="1" t="n">
        <v>45300</v>
      </c>
      <c r="E54" s="1" t="n">
        <v>46310</v>
      </c>
      <c r="F54" t="inlineStr">
        <is>
          <t>SKÅNE LÄN</t>
        </is>
      </c>
      <c r="G54" t="inlineStr">
        <is>
          <t>TOMELILLA</t>
        </is>
      </c>
      <c r="H54" t="inlineStr">
        <is>
          <t>Övriga Aktiebolag</t>
        </is>
      </c>
      <c r="I54" t="n">
        <v>11.1</v>
      </c>
      <c r="J54" t="n">
        <v>0</v>
      </c>
      <c r="K54" t="n">
        <v>0</v>
      </c>
      <c r="L54" t="n">
        <v>0</v>
      </c>
      <c r="M54" t="n">
        <v>0</v>
      </c>
      <c r="N54" t="n">
        <v>0</v>
      </c>
      <c r="O54" t="n">
        <v>0</v>
      </c>
      <c r="P54" t="n">
        <v>0</v>
      </c>
      <c r="Q54" t="n">
        <v>0</v>
      </c>
      <c r="R54" t="n">
        <v>0</v>
      </c>
      <c r="S54" t="n">
        <v>0</v>
      </c>
      <c r="T54" t="n">
        <v>0</v>
      </c>
      <c r="U54" t="n">
        <v>0</v>
      </c>
      <c r="V54" s="2" t="inlineStr"/>
    </row>
    <row r="55" ht="15" customHeight="1">
      <c r="A55" t="inlineStr">
        <is>
          <t>A 15075-2024</t>
        </is>
      </c>
      <c r="B55" t="inlineStr">
        <is>
          <t>avverkningsanmälan</t>
        </is>
      </c>
      <c r="C55" t="inlineStr">
        <is>
          <t>Avverkning för annat ändamål</t>
        </is>
      </c>
      <c r="D55" s="1" t="n">
        <v>45399</v>
      </c>
      <c r="E55" s="1" t="n">
        <v>46310</v>
      </c>
      <c r="F55" t="inlineStr">
        <is>
          <t>SKÅNE LÄN</t>
        </is>
      </c>
      <c r="G55" t="inlineStr">
        <is>
          <t>TOMELILLA</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11887-2024</t>
        </is>
      </c>
      <c r="B56" t="inlineStr">
        <is>
          <t>avverkningsanmälan</t>
        </is>
      </c>
      <c r="C56" t="inlineStr">
        <is>
          <t>Föryngringsavverkning</t>
        </is>
      </c>
      <c r="D56" s="1" t="n">
        <v>45376</v>
      </c>
      <c r="E56" s="1" t="n">
        <v>46310</v>
      </c>
      <c r="F56" t="inlineStr">
        <is>
          <t>SKÅNE LÄN</t>
        </is>
      </c>
      <c r="G56" t="inlineStr">
        <is>
          <t>TOMELILLA</t>
        </is>
      </c>
      <c r="H56" t="inlineStr">
        <is>
          <t>Övriga Aktiebolag</t>
        </is>
      </c>
      <c r="I56" t="n">
        <v>6.3</v>
      </c>
      <c r="J56" t="n">
        <v>0</v>
      </c>
      <c r="K56" t="n">
        <v>0</v>
      </c>
      <c r="L56" t="n">
        <v>0</v>
      </c>
      <c r="M56" t="n">
        <v>0</v>
      </c>
      <c r="N56" t="n">
        <v>0</v>
      </c>
      <c r="O56" t="n">
        <v>0</v>
      </c>
      <c r="P56" t="n">
        <v>0</v>
      </c>
      <c r="Q56" t="n">
        <v>0</v>
      </c>
      <c r="R56" t="n">
        <v>0</v>
      </c>
      <c r="S56" t="n">
        <v>0</v>
      </c>
      <c r="T56" t="n">
        <v>0</v>
      </c>
      <c r="U56" t="n">
        <v>0</v>
      </c>
      <c r="V56" s="2" t="inlineStr"/>
    </row>
    <row r="57" ht="15" customHeight="1">
      <c r="A57" t="inlineStr">
        <is>
          <t>A 10272-2023</t>
        </is>
      </c>
      <c r="B57" t="inlineStr">
        <is>
          <t>avverkningsanmälan</t>
        </is>
      </c>
      <c r="C57" t="inlineStr">
        <is>
          <t>Föryngringsavverkning</t>
        </is>
      </c>
      <c r="D57" s="1" t="n">
        <v>44986</v>
      </c>
      <c r="E57" s="1" t="n">
        <v>46310</v>
      </c>
      <c r="F57" t="inlineStr">
        <is>
          <t>SKÅNE LÄN</t>
        </is>
      </c>
      <c r="G57" t="inlineStr">
        <is>
          <t>TOMELILLA</t>
        </is>
      </c>
      <c r="H57" t="inlineStr">
        <is>
          <t>Övriga Aktiebolag</t>
        </is>
      </c>
      <c r="I57" t="n">
        <v>7.7</v>
      </c>
      <c r="J57" t="n">
        <v>0</v>
      </c>
      <c r="K57" t="n">
        <v>0</v>
      </c>
      <c r="L57" t="n">
        <v>0</v>
      </c>
      <c r="M57" t="n">
        <v>0</v>
      </c>
      <c r="N57" t="n">
        <v>0</v>
      </c>
      <c r="O57" t="n">
        <v>0</v>
      </c>
      <c r="P57" t="n">
        <v>0</v>
      </c>
      <c r="Q57" t="n">
        <v>0</v>
      </c>
      <c r="R57" t="n">
        <v>0</v>
      </c>
      <c r="S57" t="n">
        <v>0</v>
      </c>
      <c r="T57" t="n">
        <v>0</v>
      </c>
      <c r="U57" t="n">
        <v>0</v>
      </c>
      <c r="V57" s="2" t="inlineStr"/>
    </row>
    <row r="58" ht="15" customHeight="1">
      <c r="A58" t="inlineStr">
        <is>
          <t>A 48171-2025</t>
        </is>
      </c>
      <c r="B58" t="inlineStr">
        <is>
          <t>avverkningsanmälan</t>
        </is>
      </c>
      <c r="C58" t="inlineStr">
        <is>
          <t>Föryngringsavverkning</t>
        </is>
      </c>
      <c r="D58" s="1" t="n">
        <v>45933</v>
      </c>
      <c r="E58" s="1" t="n">
        <v>46310</v>
      </c>
      <c r="F58" t="inlineStr">
        <is>
          <t>SKÅNE LÄN</t>
        </is>
      </c>
      <c r="G58" t="inlineStr">
        <is>
          <t>TOMELILLA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15012-2024</t>
        </is>
      </c>
      <c r="B59" t="inlineStr">
        <is>
          <t>avverkningsanmälan</t>
        </is>
      </c>
      <c r="C59" t="inlineStr">
        <is>
          <t>Föryngringsavverkning</t>
        </is>
      </c>
      <c r="D59" s="1" t="n">
        <v>45399</v>
      </c>
      <c r="E59" s="1" t="n">
        <v>46310</v>
      </c>
      <c r="F59" t="inlineStr">
        <is>
          <t>SKÅNE LÄN</t>
        </is>
      </c>
      <c r="G59" t="inlineStr">
        <is>
          <t>TOMELILLA</t>
        </is>
      </c>
      <c r="I59" t="n">
        <v>6.9</v>
      </c>
      <c r="J59" t="n">
        <v>0</v>
      </c>
      <c r="K59" t="n">
        <v>0</v>
      </c>
      <c r="L59" t="n">
        <v>0</v>
      </c>
      <c r="M59" t="n">
        <v>0</v>
      </c>
      <c r="N59" t="n">
        <v>0</v>
      </c>
      <c r="O59" t="n">
        <v>0</v>
      </c>
      <c r="P59" t="n">
        <v>0</v>
      </c>
      <c r="Q59" t="n">
        <v>0</v>
      </c>
      <c r="R59" t="n">
        <v>0</v>
      </c>
      <c r="S59" t="n">
        <v>0</v>
      </c>
      <c r="T59" t="n">
        <v>0</v>
      </c>
      <c r="U59" t="n">
        <v>0</v>
      </c>
      <c r="V59" s="2" t="inlineStr"/>
    </row>
    <row r="60" ht="15" customHeight="1">
      <c r="A60" t="inlineStr">
        <is>
          <t>A 39791-2025</t>
        </is>
      </c>
      <c r="B60" t="inlineStr">
        <is>
          <t>avverkningsanmälan</t>
        </is>
      </c>
      <c r="C60" t="inlineStr">
        <is>
          <t>Föryngringsavverkning</t>
        </is>
      </c>
      <c r="D60" s="1" t="n">
        <v>45891</v>
      </c>
      <c r="E60" s="1" t="n">
        <v>46310</v>
      </c>
      <c r="F60" t="inlineStr">
        <is>
          <t>SKÅNE LÄN</t>
        </is>
      </c>
      <c r="G60" t="inlineStr">
        <is>
          <t>TOMELILLA</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8190-2024</t>
        </is>
      </c>
      <c r="B61" t="inlineStr">
        <is>
          <t>avverkningsanmälan</t>
        </is>
      </c>
      <c r="C61" t="inlineStr">
        <is>
          <t>Föryngringsavverkning</t>
        </is>
      </c>
      <c r="D61" s="1" t="n">
        <v>45338</v>
      </c>
      <c r="E61" s="1" t="n">
        <v>46310</v>
      </c>
      <c r="F61" t="inlineStr">
        <is>
          <t>SKÅNE LÄN</t>
        </is>
      </c>
      <c r="G61" t="inlineStr">
        <is>
          <t>TOMELILLA</t>
        </is>
      </c>
      <c r="H61" t="inlineStr">
        <is>
          <t>Kyrkan</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8192-2024</t>
        </is>
      </c>
      <c r="B62" t="inlineStr">
        <is>
          <t>avverkningsanmälan</t>
        </is>
      </c>
      <c r="C62" t="inlineStr">
        <is>
          <t>Föryngringsavverkning</t>
        </is>
      </c>
      <c r="D62" s="1" t="n">
        <v>45338</v>
      </c>
      <c r="E62" s="1" t="n">
        <v>46310</v>
      </c>
      <c r="F62" t="inlineStr">
        <is>
          <t>SKÅNE LÄN</t>
        </is>
      </c>
      <c r="G62" t="inlineStr">
        <is>
          <t>TOMELILLA</t>
        </is>
      </c>
      <c r="H62" t="inlineStr">
        <is>
          <t>Kyrkan</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16483-2024</t>
        </is>
      </c>
      <c r="B63" t="inlineStr">
        <is>
          <t>avverkningsanmälan</t>
        </is>
      </c>
      <c r="C63" t="inlineStr">
        <is>
          <t>Föryngringsavverkning</t>
        </is>
      </c>
      <c r="D63" s="1" t="n">
        <v>45408</v>
      </c>
      <c r="E63" s="1" t="n">
        <v>46310</v>
      </c>
      <c r="F63" t="inlineStr">
        <is>
          <t>SKÅNE LÄN</t>
        </is>
      </c>
      <c r="G63" t="inlineStr">
        <is>
          <t>TOMELILLA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47231-2023</t>
        </is>
      </c>
      <c r="B64" t="inlineStr">
        <is>
          <t>avverkningsanmälan</t>
        </is>
      </c>
      <c r="C64" t="inlineStr">
        <is>
          <t>Föryngringsavverkning</t>
        </is>
      </c>
      <c r="D64" s="1" t="n">
        <v>45202</v>
      </c>
      <c r="E64" s="1" t="n">
        <v>46310</v>
      </c>
      <c r="F64" t="inlineStr">
        <is>
          <t>SKÅNE LÄN</t>
        </is>
      </c>
      <c r="G64" t="inlineStr">
        <is>
          <t>TOMELILLA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28966-2022</t>
        </is>
      </c>
      <c r="B65" t="inlineStr">
        <is>
          <t>avverkningsanmälan</t>
        </is>
      </c>
      <c r="C65" t="inlineStr">
        <is>
          <t>Avverkning för annat ändamål</t>
        </is>
      </c>
      <c r="D65" s="1" t="n">
        <v>44749</v>
      </c>
      <c r="E65" s="1" t="n">
        <v>46310</v>
      </c>
      <c r="F65" t="inlineStr">
        <is>
          <t>SKÅNE LÄN</t>
        </is>
      </c>
      <c r="G65" t="inlineStr">
        <is>
          <t>TOMELILLA</t>
        </is>
      </c>
      <c r="I65" t="n">
        <v>3.2</v>
      </c>
      <c r="J65" t="n">
        <v>0</v>
      </c>
      <c r="K65" t="n">
        <v>0</v>
      </c>
      <c r="L65" t="n">
        <v>0</v>
      </c>
      <c r="M65" t="n">
        <v>0</v>
      </c>
      <c r="N65" t="n">
        <v>0</v>
      </c>
      <c r="O65" t="n">
        <v>0</v>
      </c>
      <c r="P65" t="n">
        <v>0</v>
      </c>
      <c r="Q65" t="n">
        <v>0</v>
      </c>
      <c r="R65" t="n">
        <v>0</v>
      </c>
      <c r="S65" t="n">
        <v>0</v>
      </c>
      <c r="T65" t="n">
        <v>0</v>
      </c>
      <c r="U65" t="n">
        <v>0</v>
      </c>
      <c r="V65" s="2" t="inlineStr"/>
    </row>
    <row r="66" ht="15" customHeight="1">
      <c r="A66" t="inlineStr">
        <is>
          <t>A 578-2024</t>
        </is>
      </c>
      <c r="B66" t="inlineStr">
        <is>
          <t>avverkningsanmälan</t>
        </is>
      </c>
      <c r="C66" t="inlineStr">
        <is>
          <t>Föryngringsavverkning</t>
        </is>
      </c>
      <c r="D66" s="1" t="n">
        <v>45299</v>
      </c>
      <c r="E66" s="1" t="n">
        <v>46310</v>
      </c>
      <c r="F66" t="inlineStr">
        <is>
          <t>SKÅNE LÄN</t>
        </is>
      </c>
      <c r="G66" t="inlineStr">
        <is>
          <t>TOMELILLA</t>
        </is>
      </c>
      <c r="H66" t="inlineStr">
        <is>
          <t>Övriga Aktiebolag</t>
        </is>
      </c>
      <c r="I66" t="n">
        <v>67.40000000000001</v>
      </c>
      <c r="J66" t="n">
        <v>0</v>
      </c>
      <c r="K66" t="n">
        <v>0</v>
      </c>
      <c r="L66" t="n">
        <v>0</v>
      </c>
      <c r="M66" t="n">
        <v>0</v>
      </c>
      <c r="N66" t="n">
        <v>0</v>
      </c>
      <c r="O66" t="n">
        <v>0</v>
      </c>
      <c r="P66" t="n">
        <v>0</v>
      </c>
      <c r="Q66" t="n">
        <v>0</v>
      </c>
      <c r="R66" t="n">
        <v>0</v>
      </c>
      <c r="S66" t="n">
        <v>0</v>
      </c>
      <c r="T66" t="n">
        <v>0</v>
      </c>
      <c r="U66" t="n">
        <v>0</v>
      </c>
      <c r="V66" s="2" t="inlineStr"/>
    </row>
    <row r="67" ht="15" customHeight="1">
      <c r="A67" t="inlineStr">
        <is>
          <t>A 61970-2025</t>
        </is>
      </c>
      <c r="B67" t="inlineStr">
        <is>
          <t>avverkningsanmälan</t>
        </is>
      </c>
      <c r="C67" t="inlineStr">
        <is>
          <t>Avverkning för annat ändamål</t>
        </is>
      </c>
      <c r="D67" s="1" t="n">
        <v>46003</v>
      </c>
      <c r="E67" s="1" t="n">
        <v>46310</v>
      </c>
      <c r="F67" t="inlineStr">
        <is>
          <t>SKÅNE LÄN</t>
        </is>
      </c>
      <c r="G67" t="inlineStr">
        <is>
          <t>TOMELILLA</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6357-2024</t>
        </is>
      </c>
      <c r="B68" t="inlineStr">
        <is>
          <t>avverkningsanmälan</t>
        </is>
      </c>
      <c r="C68" t="inlineStr">
        <is>
          <t>Föryngringsavverkning</t>
        </is>
      </c>
      <c r="D68" s="1" t="n">
        <v>45338</v>
      </c>
      <c r="E68" s="1" t="n">
        <v>46310</v>
      </c>
      <c r="F68" t="inlineStr">
        <is>
          <t>SKÅNE LÄN</t>
        </is>
      </c>
      <c r="G68" t="inlineStr">
        <is>
          <t>TOMELILLA</t>
        </is>
      </c>
      <c r="H68" t="inlineStr">
        <is>
          <t>Kyrkan</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12663-2022</t>
        </is>
      </c>
      <c r="B69" t="inlineStr">
        <is>
          <t>avverkningsanmälan</t>
        </is>
      </c>
      <c r="C69" t="inlineStr">
        <is>
          <t>Föryngringsavverkning</t>
        </is>
      </c>
      <c r="D69" s="1" t="n">
        <v>44641</v>
      </c>
      <c r="E69" s="1" t="n">
        <v>46310</v>
      </c>
      <c r="F69" t="inlineStr">
        <is>
          <t>SKÅNE LÄN</t>
        </is>
      </c>
      <c r="G69" t="inlineStr">
        <is>
          <t>TOMELILLA</t>
        </is>
      </c>
      <c r="H69" t="inlineStr">
        <is>
          <t>Övriga Aktiebolag</t>
        </is>
      </c>
      <c r="I69" t="n">
        <v>12.4</v>
      </c>
      <c r="J69" t="n">
        <v>0</v>
      </c>
      <c r="K69" t="n">
        <v>0</v>
      </c>
      <c r="L69" t="n">
        <v>0</v>
      </c>
      <c r="M69" t="n">
        <v>0</v>
      </c>
      <c r="N69" t="n">
        <v>0</v>
      </c>
      <c r="O69" t="n">
        <v>0</v>
      </c>
      <c r="P69" t="n">
        <v>0</v>
      </c>
      <c r="Q69" t="n">
        <v>0</v>
      </c>
      <c r="R69" t="n">
        <v>0</v>
      </c>
      <c r="S69" t="n">
        <v>0</v>
      </c>
      <c r="T69" t="n">
        <v>0</v>
      </c>
      <c r="U69" t="n">
        <v>0</v>
      </c>
      <c r="V69" s="2" t="inlineStr"/>
    </row>
    <row r="70" ht="15" customHeight="1">
      <c r="A70" t="inlineStr">
        <is>
          <t>A 23813-2024</t>
        </is>
      </c>
      <c r="B70" t="inlineStr">
        <is>
          <t>avverkningsanmälan</t>
        </is>
      </c>
      <c r="C70" t="inlineStr">
        <is>
          <t>Föryngringsavverkning</t>
        </is>
      </c>
      <c r="D70" s="1" t="n">
        <v>45455</v>
      </c>
      <c r="E70" s="1" t="n">
        <v>46310</v>
      </c>
      <c r="F70" t="inlineStr">
        <is>
          <t>SKÅNE LÄN</t>
        </is>
      </c>
      <c r="G70" t="inlineStr">
        <is>
          <t>TOMELILLA</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6124-2026</t>
        </is>
      </c>
      <c r="B71" t="inlineStr">
        <is>
          <t>avverkningsanmälan</t>
        </is>
      </c>
      <c r="C71" t="inlineStr">
        <is>
          <t>Föryngringsavverkning</t>
        </is>
      </c>
      <c r="D71" s="1" t="n">
        <v>46053</v>
      </c>
      <c r="E71" s="1" t="n">
        <v>46310</v>
      </c>
      <c r="F71" t="inlineStr">
        <is>
          <t>SKÅNE LÄN</t>
        </is>
      </c>
      <c r="G71" t="inlineStr">
        <is>
          <t>TOMELILLA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16621-2026</t>
        </is>
      </c>
      <c r="B72" t="inlineStr">
        <is>
          <t>avverkningsanmälan</t>
        </is>
      </c>
      <c r="C72" t="inlineStr">
        <is>
          <t>Föryngringsavverkning</t>
        </is>
      </c>
      <c r="D72" s="1" t="n">
        <v>46112</v>
      </c>
      <c r="E72" s="1" t="n">
        <v>46310</v>
      </c>
      <c r="F72" t="inlineStr">
        <is>
          <t>SKÅNE LÄN</t>
        </is>
      </c>
      <c r="G72" t="inlineStr">
        <is>
          <t>TOMELILLA</t>
        </is>
      </c>
      <c r="H72" t="inlineStr">
        <is>
          <t>Kommuner</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30806-2023</t>
        </is>
      </c>
      <c r="B73" t="inlineStr">
        <is>
          <t>avverkningsanmälan</t>
        </is>
      </c>
      <c r="C73" t="inlineStr">
        <is>
          <t>Föryngringsavverkning</t>
        </is>
      </c>
      <c r="D73" s="1" t="n">
        <v>45112</v>
      </c>
      <c r="E73" s="1" t="n">
        <v>46310</v>
      </c>
      <c r="F73" t="inlineStr">
        <is>
          <t>SKÅNE LÄN</t>
        </is>
      </c>
      <c r="G73" t="inlineStr">
        <is>
          <t>TOMELILLA</t>
        </is>
      </c>
      <c r="H73" t="inlineStr">
        <is>
          <t>Övriga Aktiebolag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19454-2024</t>
        </is>
      </c>
      <c r="B74" t="inlineStr">
        <is>
          <t>avverkningsanmälan</t>
        </is>
      </c>
      <c r="C74" t="inlineStr">
        <is>
          <t>Föryngringsavverkning</t>
        </is>
      </c>
      <c r="D74" s="1" t="n">
        <v>45429</v>
      </c>
      <c r="E74" s="1" t="n">
        <v>46310</v>
      </c>
      <c r="F74" t="inlineStr">
        <is>
          <t>SKÅNE LÄN</t>
        </is>
      </c>
      <c r="G74" t="inlineStr">
        <is>
          <t>TOMELILLA</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49913-2025</t>
        </is>
      </c>
      <c r="B75" t="inlineStr">
        <is>
          <t>avverkningsanmälan</t>
        </is>
      </c>
      <c r="C75" t="inlineStr">
        <is>
          <t>Avverkning för annat ändamål</t>
        </is>
      </c>
      <c r="D75" s="1" t="n">
        <v>45940</v>
      </c>
      <c r="E75" s="1" t="n">
        <v>46310</v>
      </c>
      <c r="F75" t="inlineStr">
        <is>
          <t>SKÅNE LÄN</t>
        </is>
      </c>
      <c r="G75" t="inlineStr">
        <is>
          <t>TOMELILLA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59528-2022</t>
        </is>
      </c>
      <c r="B76" t="inlineStr">
        <is>
          <t>avverkningsanmälan</t>
        </is>
      </c>
      <c r="C76" t="inlineStr">
        <is>
          <t>Föryngringsavverkning</t>
        </is>
      </c>
      <c r="D76" s="1" t="n">
        <v>44907</v>
      </c>
      <c r="E76" s="1" t="n">
        <v>46310</v>
      </c>
      <c r="F76" t="inlineStr">
        <is>
          <t>SKÅNE LÄN</t>
        </is>
      </c>
      <c r="G76" t="inlineStr">
        <is>
          <t>TOMELILLA</t>
        </is>
      </c>
      <c r="H76" t="inlineStr">
        <is>
          <t>Övriga Aktiebolag</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30673-2023</t>
        </is>
      </c>
      <c r="B77" t="inlineStr">
        <is>
          <t>avverkningsanmälan</t>
        </is>
      </c>
      <c r="C77" t="inlineStr">
        <is>
          <t>Föryngringsavverkning</t>
        </is>
      </c>
      <c r="D77" s="1" t="n">
        <v>45112</v>
      </c>
      <c r="E77" s="1" t="n">
        <v>46310</v>
      </c>
      <c r="F77" t="inlineStr">
        <is>
          <t>SKÅNE LÄN</t>
        </is>
      </c>
      <c r="G77" t="inlineStr">
        <is>
          <t>TOMELILLA</t>
        </is>
      </c>
      <c r="H77" t="inlineStr">
        <is>
          <t>Övriga Aktiebolag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1199-2024</t>
        </is>
      </c>
      <c r="B78" t="inlineStr">
        <is>
          <t>avverkningsanmälan</t>
        </is>
      </c>
      <c r="C78" t="inlineStr">
        <is>
          <t>Föryngringsavverkning</t>
        </is>
      </c>
      <c r="D78" s="1" t="n">
        <v>45302</v>
      </c>
      <c r="E78" s="1" t="n">
        <v>46310</v>
      </c>
      <c r="F78" t="inlineStr">
        <is>
          <t>SKÅNE LÄN</t>
        </is>
      </c>
      <c r="G78" t="inlineStr">
        <is>
          <t>TOMELILLA</t>
        </is>
      </c>
      <c r="H78" t="inlineStr">
        <is>
          <t>Övriga Aktiebolag</t>
        </is>
      </c>
      <c r="I78" t="n">
        <v>16.1</v>
      </c>
      <c r="J78" t="n">
        <v>0</v>
      </c>
      <c r="K78" t="n">
        <v>0</v>
      </c>
      <c r="L78" t="n">
        <v>0</v>
      </c>
      <c r="M78" t="n">
        <v>0</v>
      </c>
      <c r="N78" t="n">
        <v>0</v>
      </c>
      <c r="O78" t="n">
        <v>0</v>
      </c>
      <c r="P78" t="n">
        <v>0</v>
      </c>
      <c r="Q78" t="n">
        <v>0</v>
      </c>
      <c r="R78" t="n">
        <v>0</v>
      </c>
      <c r="S78" t="n">
        <v>0</v>
      </c>
      <c r="T78" t="n">
        <v>0</v>
      </c>
      <c r="U78" t="n">
        <v>0</v>
      </c>
      <c r="V78" s="2" t="inlineStr"/>
    </row>
    <row r="79" ht="15" customHeight="1">
      <c r="A79" t="inlineStr">
        <is>
          <t>A 4018-2024</t>
        </is>
      </c>
      <c r="B79" t="inlineStr">
        <is>
          <t>avverkningsanmälan</t>
        </is>
      </c>
      <c r="C79" t="inlineStr">
        <is>
          <t>Föryngringsavverkning</t>
        </is>
      </c>
      <c r="D79" s="1" t="n">
        <v>45323</v>
      </c>
      <c r="E79" s="1" t="n">
        <v>46310</v>
      </c>
      <c r="F79" t="inlineStr">
        <is>
          <t>SKÅNE LÄN</t>
        </is>
      </c>
      <c r="G79" t="inlineStr">
        <is>
          <t>TOMELILLA</t>
        </is>
      </c>
      <c r="H79" t="inlineStr">
        <is>
          <t>Övriga Aktiebolag</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61841-2025</t>
        </is>
      </c>
      <c r="B80" t="inlineStr">
        <is>
          <t>avverkningsanmälan</t>
        </is>
      </c>
      <c r="C80" t="inlineStr">
        <is>
          <t>Föryngringsavverkning</t>
        </is>
      </c>
      <c r="D80" s="1" t="n">
        <v>46003</v>
      </c>
      <c r="E80" s="1" t="n">
        <v>46310</v>
      </c>
      <c r="F80" t="inlineStr">
        <is>
          <t>SKÅNE LÄN</t>
        </is>
      </c>
      <c r="G80" t="inlineStr">
        <is>
          <t>TOMELILLA</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4482-2026</t>
        </is>
      </c>
      <c r="B81" t="inlineStr">
        <is>
          <t>avverkningsanmälan</t>
        </is>
      </c>
      <c r="C81" t="inlineStr">
        <is>
          <t>Föryngringsavverkning</t>
        </is>
      </c>
      <c r="D81" s="1" t="n">
        <v>46045</v>
      </c>
      <c r="E81" s="1" t="n">
        <v>46310</v>
      </c>
      <c r="F81" t="inlineStr">
        <is>
          <t>SKÅNE LÄN</t>
        </is>
      </c>
      <c r="G81" t="inlineStr">
        <is>
          <t>TOMELILLA</t>
        </is>
      </c>
      <c r="H81" t="inlineStr">
        <is>
          <t>Övriga Aktiebolag</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6259-2024</t>
        </is>
      </c>
      <c r="B82" t="inlineStr">
        <is>
          <t>avverkningsanmälan</t>
        </is>
      </c>
      <c r="C82" t="inlineStr">
        <is>
          <t>Föryngringsavverkning</t>
        </is>
      </c>
      <c r="D82" s="1" t="n">
        <v>45337</v>
      </c>
      <c r="E82" s="1" t="n">
        <v>46310</v>
      </c>
      <c r="F82" t="inlineStr">
        <is>
          <t>SKÅNE LÄN</t>
        </is>
      </c>
      <c r="G82" t="inlineStr">
        <is>
          <t>TOMELILLA</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17316-2024</t>
        </is>
      </c>
      <c r="B83" t="inlineStr">
        <is>
          <t>avverkningsanmälan</t>
        </is>
      </c>
      <c r="C83" t="inlineStr">
        <is>
          <t>Föryngringsavverkning</t>
        </is>
      </c>
      <c r="D83" s="1" t="n">
        <v>45414</v>
      </c>
      <c r="E83" s="1" t="n">
        <v>46310</v>
      </c>
      <c r="F83" t="inlineStr">
        <is>
          <t>SKÅNE LÄN</t>
        </is>
      </c>
      <c r="G83" t="inlineStr">
        <is>
          <t>TOMELILLA</t>
        </is>
      </c>
      <c r="H83" t="inlineStr">
        <is>
          <t>Övriga Aktiebolag</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6316-2024</t>
        </is>
      </c>
      <c r="B84" t="inlineStr">
        <is>
          <t>avverkningsanmälan</t>
        </is>
      </c>
      <c r="C84" t="inlineStr">
        <is>
          <t>Föryngringsavverkning</t>
        </is>
      </c>
      <c r="D84" s="1" t="n">
        <v>45338</v>
      </c>
      <c r="E84" s="1" t="n">
        <v>46310</v>
      </c>
      <c r="F84" t="inlineStr">
        <is>
          <t>SKÅNE LÄN</t>
        </is>
      </c>
      <c r="G84" t="inlineStr">
        <is>
          <t>TOMELILLA</t>
        </is>
      </c>
      <c r="H84" t="inlineStr">
        <is>
          <t>Övriga Aktiebolag</t>
        </is>
      </c>
      <c r="I84" t="n">
        <v>28.6</v>
      </c>
      <c r="J84" t="n">
        <v>0</v>
      </c>
      <c r="K84" t="n">
        <v>0</v>
      </c>
      <c r="L84" t="n">
        <v>0</v>
      </c>
      <c r="M84" t="n">
        <v>0</v>
      </c>
      <c r="N84" t="n">
        <v>0</v>
      </c>
      <c r="O84" t="n">
        <v>0</v>
      </c>
      <c r="P84" t="n">
        <v>0</v>
      </c>
      <c r="Q84" t="n">
        <v>0</v>
      </c>
      <c r="R84" t="n">
        <v>0</v>
      </c>
      <c r="S84" t="n">
        <v>0</v>
      </c>
      <c r="T84" t="n">
        <v>0</v>
      </c>
      <c r="U84" t="n">
        <v>0</v>
      </c>
      <c r="V84" s="2" t="inlineStr"/>
    </row>
    <row r="85" ht="15" customHeight="1">
      <c r="A85" t="inlineStr">
        <is>
          <t>A 42794-2024</t>
        </is>
      </c>
      <c r="B85" t="inlineStr">
        <is>
          <t>avverkningsanmälan</t>
        </is>
      </c>
      <c r="C85" t="inlineStr">
        <is>
          <t>Föryngringsavverkning</t>
        </is>
      </c>
      <c r="D85" s="1" t="n">
        <v>45566</v>
      </c>
      <c r="E85" s="1" t="n">
        <v>46310</v>
      </c>
      <c r="F85" t="inlineStr">
        <is>
          <t>SKÅNE LÄN</t>
        </is>
      </c>
      <c r="G85" t="inlineStr">
        <is>
          <t>TOMELILLA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6852-2026</t>
        </is>
      </c>
      <c r="B86" t="inlineStr">
        <is>
          <t>avverkningsanmälan</t>
        </is>
      </c>
      <c r="C86" t="inlineStr">
        <is>
          <t>Föryngringsavverkning</t>
        </is>
      </c>
      <c r="D86" s="1" t="n">
        <v>46057</v>
      </c>
      <c r="E86" s="1" t="n">
        <v>46310</v>
      </c>
      <c r="F86" t="inlineStr">
        <is>
          <t>SKÅNE LÄN</t>
        </is>
      </c>
      <c r="G86" t="inlineStr">
        <is>
          <t>TOMELILLA</t>
        </is>
      </c>
      <c r="H86" t="inlineStr">
        <is>
          <t>Övriga Aktiebolag</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49815-2025</t>
        </is>
      </c>
      <c r="B87" t="inlineStr">
        <is>
          <t>avverkningsanmälan</t>
        </is>
      </c>
      <c r="C87" t="inlineStr">
        <is>
          <t>Föryngringsavverkning</t>
        </is>
      </c>
      <c r="D87" s="1" t="n">
        <v>45940</v>
      </c>
      <c r="E87" s="1" t="n">
        <v>46310</v>
      </c>
      <c r="F87" t="inlineStr">
        <is>
          <t>SKÅNE LÄN</t>
        </is>
      </c>
      <c r="G87" t="inlineStr">
        <is>
          <t>TOMELILLA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4969-2026</t>
        </is>
      </c>
      <c r="B88" t="inlineStr">
        <is>
          <t>avverkningsanmälan</t>
        </is>
      </c>
      <c r="C88" t="inlineStr">
        <is>
          <t>Föryngringsavverkning</t>
        </is>
      </c>
      <c r="D88" s="1" t="n">
        <v>46049</v>
      </c>
      <c r="E88" s="1" t="n">
        <v>46310</v>
      </c>
      <c r="F88" t="inlineStr">
        <is>
          <t>SKÅNE LÄN</t>
        </is>
      </c>
      <c r="G88" t="inlineStr">
        <is>
          <t>TOMELILLA</t>
        </is>
      </c>
      <c r="H88" t="inlineStr">
        <is>
          <t>Övriga Aktiebolag</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21291-2026</t>
        </is>
      </c>
      <c r="B89" t="inlineStr">
        <is>
          <t>avverkningsanmälan</t>
        </is>
      </c>
      <c r="C89" t="inlineStr">
        <is>
          <t>Föryngringsavverkning</t>
        </is>
      </c>
      <c r="D89" s="1" t="n">
        <v>46147</v>
      </c>
      <c r="E89" s="1" t="n">
        <v>46310</v>
      </c>
      <c r="F89" t="inlineStr">
        <is>
          <t>SKÅNE LÄN</t>
        </is>
      </c>
      <c r="G89" t="inlineStr">
        <is>
          <t>TOMELILLA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21293-2026</t>
        </is>
      </c>
      <c r="B90" t="inlineStr">
        <is>
          <t>avverkningsanmälan</t>
        </is>
      </c>
      <c r="C90" t="inlineStr">
        <is>
          <t>Föryngringsavverkning</t>
        </is>
      </c>
      <c r="D90" s="1" t="n">
        <v>46147</v>
      </c>
      <c r="E90" s="1" t="n">
        <v>46310</v>
      </c>
      <c r="F90" t="inlineStr">
        <is>
          <t>SKÅNE LÄN</t>
        </is>
      </c>
      <c r="G90" t="inlineStr">
        <is>
          <t>TOMELILLA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15288-2026</t>
        </is>
      </c>
      <c r="B91" t="inlineStr">
        <is>
          <t>avverkningsanmälan</t>
        </is>
      </c>
      <c r="C91" t="inlineStr">
        <is>
          <t>Föryngringsavverkning</t>
        </is>
      </c>
      <c r="D91" s="1" t="n">
        <v>46105</v>
      </c>
      <c r="E91" s="1" t="n">
        <v>46310</v>
      </c>
      <c r="F91" t="inlineStr">
        <is>
          <t>SKÅNE LÄN</t>
        </is>
      </c>
      <c r="G91" t="inlineStr">
        <is>
          <t>TOMELILLA</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39796-2025</t>
        </is>
      </c>
      <c r="B92" t="inlineStr">
        <is>
          <t>avverkningsanmälan</t>
        </is>
      </c>
      <c r="C92" t="inlineStr">
        <is>
          <t>Föryngringsavverkning</t>
        </is>
      </c>
      <c r="D92" s="1" t="n">
        <v>45891</v>
      </c>
      <c r="E92" s="1" t="n">
        <v>46310</v>
      </c>
      <c r="F92" t="inlineStr">
        <is>
          <t>SKÅNE LÄN</t>
        </is>
      </c>
      <c r="G92" t="inlineStr">
        <is>
          <t>TOMELILLA</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31993-2023</t>
        </is>
      </c>
      <c r="B93" t="inlineStr">
        <is>
          <t>avverkningsanmälan</t>
        </is>
      </c>
      <c r="C93" t="inlineStr">
        <is>
          <t>Föryngringsavverkning</t>
        </is>
      </c>
      <c r="D93" s="1" t="n">
        <v>45119</v>
      </c>
      <c r="E93" s="1" t="n">
        <v>46310</v>
      </c>
      <c r="F93" t="inlineStr">
        <is>
          <t>SKÅNE LÄN</t>
        </is>
      </c>
      <c r="G93" t="inlineStr">
        <is>
          <t>TOMELILLA</t>
        </is>
      </c>
      <c r="I93" t="n">
        <v>6.8</v>
      </c>
      <c r="J93" t="n">
        <v>0</v>
      </c>
      <c r="K93" t="n">
        <v>0</v>
      </c>
      <c r="L93" t="n">
        <v>0</v>
      </c>
      <c r="M93" t="n">
        <v>0</v>
      </c>
      <c r="N93" t="n">
        <v>0</v>
      </c>
      <c r="O93" t="n">
        <v>0</v>
      </c>
      <c r="P93" t="n">
        <v>0</v>
      </c>
      <c r="Q93" t="n">
        <v>0</v>
      </c>
      <c r="R93" t="n">
        <v>0</v>
      </c>
      <c r="S93" t="n">
        <v>0</v>
      </c>
      <c r="T93" t="n">
        <v>0</v>
      </c>
      <c r="U93" t="n">
        <v>0</v>
      </c>
      <c r="V93" s="2" t="inlineStr"/>
    </row>
    <row r="94" ht="15" customHeight="1">
      <c r="A94" t="inlineStr">
        <is>
          <t>A 16568-2024</t>
        </is>
      </c>
      <c r="B94" t="inlineStr">
        <is>
          <t>avverkningsanmälan</t>
        </is>
      </c>
      <c r="C94" t="inlineStr">
        <is>
          <t>Föryngringsavverkning</t>
        </is>
      </c>
      <c r="D94" s="1" t="n">
        <v>45408</v>
      </c>
      <c r="E94" s="1" t="n">
        <v>46310</v>
      </c>
      <c r="F94" t="inlineStr">
        <is>
          <t>SKÅNE LÄN</t>
        </is>
      </c>
      <c r="G94" t="inlineStr">
        <is>
          <t>TOMELILLA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4677-2023</t>
        </is>
      </c>
      <c r="B95" t="inlineStr">
        <is>
          <t>avverkningsanmälan</t>
        </is>
      </c>
      <c r="C95" t="inlineStr">
        <is>
          <t>Föryngringsavverkning</t>
        </is>
      </c>
      <c r="D95" s="1" t="n">
        <v>44952</v>
      </c>
      <c r="E95" s="1" t="n">
        <v>46310</v>
      </c>
      <c r="F95" t="inlineStr">
        <is>
          <t>SKÅNE LÄN</t>
        </is>
      </c>
      <c r="G95" t="inlineStr">
        <is>
          <t>TOMELILLA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16611-2026</t>
        </is>
      </c>
      <c r="B96" t="inlineStr">
        <is>
          <t>avverkningsanmälan</t>
        </is>
      </c>
      <c r="C96" t="inlineStr">
        <is>
          <t>Föryngringsavverkning</t>
        </is>
      </c>
      <c r="D96" s="1" t="n">
        <v>46112</v>
      </c>
      <c r="E96" s="1" t="n">
        <v>46310</v>
      </c>
      <c r="F96" t="inlineStr">
        <is>
          <t>SKÅNE LÄN</t>
        </is>
      </c>
      <c r="G96" t="inlineStr">
        <is>
          <t>TOMELILLA</t>
        </is>
      </c>
      <c r="H96" t="inlineStr">
        <is>
          <t>Kommuner</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11802-2024</t>
        </is>
      </c>
      <c r="B97" t="inlineStr">
        <is>
          <t>avverkningsanmälan</t>
        </is>
      </c>
      <c r="C97" t="inlineStr">
        <is>
          <t>Föryngringsavverkning</t>
        </is>
      </c>
      <c r="D97" s="1" t="n">
        <v>45375</v>
      </c>
      <c r="E97" s="1" t="n">
        <v>46310</v>
      </c>
      <c r="F97" t="inlineStr">
        <is>
          <t>SKÅNE LÄN</t>
        </is>
      </c>
      <c r="G97" t="inlineStr">
        <is>
          <t>TOMELILLA</t>
        </is>
      </c>
      <c r="H97" t="inlineStr">
        <is>
          <t>Övriga Aktiebolag</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11894-2024</t>
        </is>
      </c>
      <c r="B98" t="inlineStr">
        <is>
          <t>avverkningsanmälan</t>
        </is>
      </c>
      <c r="C98" t="inlineStr">
        <is>
          <t>Föryngringsavverkning</t>
        </is>
      </c>
      <c r="D98" s="1" t="n">
        <v>45376</v>
      </c>
      <c r="E98" s="1" t="n">
        <v>46310</v>
      </c>
      <c r="F98" t="inlineStr">
        <is>
          <t>SKÅNE LÄN</t>
        </is>
      </c>
      <c r="G98" t="inlineStr">
        <is>
          <t>TOMELILLA</t>
        </is>
      </c>
      <c r="H98" t="inlineStr">
        <is>
          <t>Övriga Aktiebolag</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24248-2024</t>
        </is>
      </c>
      <c r="B99" t="inlineStr">
        <is>
          <t>avverkningsanmälan</t>
        </is>
      </c>
      <c r="C99" t="inlineStr">
        <is>
          <t>Föryngringsavverkning</t>
        </is>
      </c>
      <c r="D99" s="1" t="n">
        <v>45457</v>
      </c>
      <c r="E99" s="1" t="n">
        <v>46310</v>
      </c>
      <c r="F99" t="inlineStr">
        <is>
          <t>SKÅNE LÄN</t>
        </is>
      </c>
      <c r="G99" t="inlineStr">
        <is>
          <t>TOMELILLA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24002-2026</t>
        </is>
      </c>
      <c r="B100" t="inlineStr">
        <is>
          <t>avverkningsanmälan</t>
        </is>
      </c>
      <c r="C100" t="inlineStr">
        <is>
          <t>Avverkning för annat ändamål</t>
        </is>
      </c>
      <c r="D100" s="1" t="n">
        <v>46167</v>
      </c>
      <c r="E100" s="1" t="n">
        <v>46310</v>
      </c>
      <c r="F100" t="inlineStr">
        <is>
          <t>SKÅNE LÄN</t>
        </is>
      </c>
      <c r="G100" t="inlineStr">
        <is>
          <t>TOMELILLA</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15296-2026</t>
        </is>
      </c>
      <c r="B101" t="inlineStr">
        <is>
          <t>avverkningsanmälan</t>
        </is>
      </c>
      <c r="C101" t="inlineStr">
        <is>
          <t>Föryngringsavverkning</t>
        </is>
      </c>
      <c r="D101" s="1" t="n">
        <v>46105</v>
      </c>
      <c r="E101" s="1" t="n">
        <v>46310</v>
      </c>
      <c r="F101" t="inlineStr">
        <is>
          <t>SKÅNE LÄN</t>
        </is>
      </c>
      <c r="G101" t="inlineStr">
        <is>
          <t>TOMELILLA</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5027-2024</t>
        </is>
      </c>
      <c r="B102" t="inlineStr">
        <is>
          <t>avverkningsanmälan</t>
        </is>
      </c>
      <c r="C102" t="inlineStr">
        <is>
          <t>Föryngringsavverkning</t>
        </is>
      </c>
      <c r="D102" s="1" t="n">
        <v>45329</v>
      </c>
      <c r="E102" s="1" t="n">
        <v>46310</v>
      </c>
      <c r="F102" t="inlineStr">
        <is>
          <t>SKÅNE LÄN</t>
        </is>
      </c>
      <c r="G102" t="inlineStr">
        <is>
          <t>TOMELILLA</t>
        </is>
      </c>
      <c r="H102" t="inlineStr">
        <is>
          <t>Övriga Aktiebolag</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12181-2023</t>
        </is>
      </c>
      <c r="B103" t="inlineStr">
        <is>
          <t>avverkningsanmälan</t>
        </is>
      </c>
      <c r="C103" t="inlineStr">
        <is>
          <t>Föryngringsavverkning</t>
        </is>
      </c>
      <c r="D103" s="1" t="n">
        <v>44998</v>
      </c>
      <c r="E103" s="1" t="n">
        <v>46310</v>
      </c>
      <c r="F103" t="inlineStr">
        <is>
          <t>SKÅNE LÄN</t>
        </is>
      </c>
      <c r="G103" t="inlineStr">
        <is>
          <t>TOMELILLA</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23621-2026</t>
        </is>
      </c>
      <c r="B104" t="inlineStr">
        <is>
          <t>avverkningsanmälan</t>
        </is>
      </c>
      <c r="C104" t="inlineStr">
        <is>
          <t>Föryngringsavverkning</t>
        </is>
      </c>
      <c r="D104" s="1" t="n">
        <v>46162</v>
      </c>
      <c r="E104" s="1" t="n">
        <v>46310</v>
      </c>
      <c r="F104" t="inlineStr">
        <is>
          <t>SKÅNE LÄN</t>
        </is>
      </c>
      <c r="G104" t="inlineStr">
        <is>
          <t>TOMELILLA</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38562-2023</t>
        </is>
      </c>
      <c r="B105" t="inlineStr">
        <is>
          <t>avverkningsanmälan</t>
        </is>
      </c>
      <c r="C105" t="inlineStr">
        <is>
          <t>Föryngringsavverkning</t>
        </is>
      </c>
      <c r="D105" s="1" t="n">
        <v>45162</v>
      </c>
      <c r="E105" s="1" t="n">
        <v>46310</v>
      </c>
      <c r="F105" t="inlineStr">
        <is>
          <t>SKÅNE LÄN</t>
        </is>
      </c>
      <c r="G105" t="inlineStr">
        <is>
          <t>TOMELILLA</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17778-2024</t>
        </is>
      </c>
      <c r="B106" t="inlineStr">
        <is>
          <t>avverkningsanmälan</t>
        </is>
      </c>
      <c r="C106" t="inlineStr">
        <is>
          <t>Föryngringsavverkning</t>
        </is>
      </c>
      <c r="D106" s="1" t="n">
        <v>45418</v>
      </c>
      <c r="E106" s="1" t="n">
        <v>46310</v>
      </c>
      <c r="F106" t="inlineStr">
        <is>
          <t>SKÅNE LÄN</t>
        </is>
      </c>
      <c r="G106" t="inlineStr">
        <is>
          <t>TOMELILLA</t>
        </is>
      </c>
      <c r="H106" t="inlineStr">
        <is>
          <t>Övriga Aktiebolag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44675-2024</t>
        </is>
      </c>
      <c r="B107" t="inlineStr">
        <is>
          <t>avverkningsanmälan</t>
        </is>
      </c>
      <c r="C107" t="inlineStr">
        <is>
          <t>Avverkning för att bevara och utveckla /försöksver</t>
        </is>
      </c>
      <c r="D107" s="1" t="n">
        <v>45574</v>
      </c>
      <c r="E107" s="1" t="n">
        <v>46310</v>
      </c>
      <c r="F107" t="inlineStr">
        <is>
          <t>SKÅNE LÄN</t>
        </is>
      </c>
      <c r="G107" t="inlineStr">
        <is>
          <t>TOMELILLA</t>
        </is>
      </c>
      <c r="H107" t="inlineStr">
        <is>
          <t>Sveaskog</t>
        </is>
      </c>
      <c r="I107" t="n">
        <v>11.2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24987-2026</t>
        </is>
      </c>
      <c r="B108" t="inlineStr">
        <is>
          <t>avverkningsanmälan</t>
        </is>
      </c>
      <c r="C108" t="inlineStr">
        <is>
          <t>Föryngringsavverkning</t>
        </is>
      </c>
      <c r="D108" s="1" t="n">
        <v>46174</v>
      </c>
      <c r="E108" s="1" t="n">
        <v>46310</v>
      </c>
      <c r="F108" t="inlineStr">
        <is>
          <t>SKÅNE LÄN</t>
        </is>
      </c>
      <c r="G108" t="inlineStr">
        <is>
          <t>TOMELILLA</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26473-2024</t>
        </is>
      </c>
      <c r="B109" t="inlineStr">
        <is>
          <t>avverkningsanmälan</t>
        </is>
      </c>
      <c r="C109" t="inlineStr">
        <is>
          <t>Föryngringsavverkning</t>
        </is>
      </c>
      <c r="D109" s="1" t="n">
        <v>45469</v>
      </c>
      <c r="E109" s="1" t="n">
        <v>46310</v>
      </c>
      <c r="F109" t="inlineStr">
        <is>
          <t>SKÅNE LÄN</t>
        </is>
      </c>
      <c r="G109" t="inlineStr">
        <is>
          <t>TOMELILLA</t>
        </is>
      </c>
      <c r="I109" t="n">
        <v>4.4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31134-2026</t>
        </is>
      </c>
      <c r="B110" t="inlineStr">
        <is>
          <t>avverkningsanmälan</t>
        </is>
      </c>
      <c r="C110" t="inlineStr">
        <is>
          <t>Föryngringsavverkning</t>
        </is>
      </c>
      <c r="D110" s="1" t="n">
        <v>46216</v>
      </c>
      <c r="E110" s="1" t="n">
        <v>46310</v>
      </c>
      <c r="F110" t="inlineStr">
        <is>
          <t>SKÅNE LÄN</t>
        </is>
      </c>
      <c r="G110" t="inlineStr">
        <is>
          <t>TOMELILLA</t>
        </is>
      </c>
      <c r="H110" t="inlineStr">
        <is>
          <t>Övriga Aktiebolag</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51031-2023</t>
        </is>
      </c>
      <c r="B111" t="inlineStr">
        <is>
          <t>avverkningsanmälan</t>
        </is>
      </c>
      <c r="C111" t="inlineStr">
        <is>
          <t>Föryngringsavverkning</t>
        </is>
      </c>
      <c r="D111" s="1" t="n">
        <v>45211</v>
      </c>
      <c r="E111" s="1" t="n">
        <v>46310</v>
      </c>
      <c r="F111" t="inlineStr">
        <is>
          <t>SKÅNE LÄN</t>
        </is>
      </c>
      <c r="G111" t="inlineStr">
        <is>
          <t>TOMELILLA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7745-2025</t>
        </is>
      </c>
      <c r="B112" t="inlineStr">
        <is>
          <t>avverkningsanmälan</t>
        </is>
      </c>
      <c r="C112" t="inlineStr">
        <is>
          <t>Avverkning för annat ändamål</t>
        </is>
      </c>
      <c r="D112" s="1" t="n">
        <v>45706</v>
      </c>
      <c r="E112" s="1" t="n">
        <v>46310</v>
      </c>
      <c r="F112" t="inlineStr">
        <is>
          <t>SKÅNE LÄN</t>
        </is>
      </c>
      <c r="G112" t="inlineStr">
        <is>
          <t>TOMELILLA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5565-2024</t>
        </is>
      </c>
      <c r="B113" t="inlineStr">
        <is>
          <t>avverkningsanmälan</t>
        </is>
      </c>
      <c r="C113" t="inlineStr">
        <is>
          <t>Föryngringsavverkning</t>
        </is>
      </c>
      <c r="D113" s="1" t="n">
        <v>45334</v>
      </c>
      <c r="E113" s="1" t="n">
        <v>46310</v>
      </c>
      <c r="F113" t="inlineStr">
        <is>
          <t>SKÅNE LÄN</t>
        </is>
      </c>
      <c r="G113" t="inlineStr">
        <is>
          <t>TOMELILLA</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23310-2022</t>
        </is>
      </c>
      <c r="B114" t="inlineStr">
        <is>
          <t>avverkningsanmälan</t>
        </is>
      </c>
      <c r="C114" t="inlineStr">
        <is>
          <t>Föryngringsavverkning</t>
        </is>
      </c>
      <c r="D114" s="1" t="n">
        <v>44720</v>
      </c>
      <c r="E114" s="1" t="n">
        <v>46310</v>
      </c>
      <c r="F114" t="inlineStr">
        <is>
          <t>SKÅNE LÄN</t>
        </is>
      </c>
      <c r="G114" t="inlineStr">
        <is>
          <t>TOMELILLA</t>
        </is>
      </c>
      <c r="H114" t="inlineStr">
        <is>
          <t>Övriga Aktiebolag</t>
        </is>
      </c>
      <c r="I114" t="n">
        <v>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38074-2026</t>
        </is>
      </c>
      <c r="B115" t="inlineStr">
        <is>
          <t>avverkningsanmälan</t>
        </is>
      </c>
      <c r="C115" t="inlineStr">
        <is>
          <t>Föryngringsavverkning</t>
        </is>
      </c>
      <c r="D115" s="1" t="n">
        <v>46280</v>
      </c>
      <c r="E115" s="1" t="n">
        <v>46310</v>
      </c>
      <c r="F115" t="inlineStr">
        <is>
          <t>SKÅNE LÄN</t>
        </is>
      </c>
      <c r="G115" t="inlineStr">
        <is>
          <t>TOMELILLA</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7955-2024</t>
        </is>
      </c>
      <c r="B116" t="inlineStr">
        <is>
          <t>avverkningsanmälan</t>
        </is>
      </c>
      <c r="C116" t="inlineStr">
        <is>
          <t>Föryngringsavverkning</t>
        </is>
      </c>
      <c r="D116" s="1" t="n">
        <v>45350</v>
      </c>
      <c r="E116" s="1" t="n">
        <v>46310</v>
      </c>
      <c r="F116" t="inlineStr">
        <is>
          <t>SKÅNE LÄN</t>
        </is>
      </c>
      <c r="G116" t="inlineStr">
        <is>
          <t>TOMELILLA</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55676-2022</t>
        </is>
      </c>
      <c r="B117" t="inlineStr">
        <is>
          <t>avverkningsanmälan</t>
        </is>
      </c>
      <c r="C117" t="inlineStr">
        <is>
          <t>Föryngringsavverkning</t>
        </is>
      </c>
      <c r="D117" s="1" t="n">
        <v>44888</v>
      </c>
      <c r="E117" s="1" t="n">
        <v>46310</v>
      </c>
      <c r="F117" t="inlineStr">
        <is>
          <t>SKÅNE LÄN</t>
        </is>
      </c>
      <c r="G117" t="inlineStr">
        <is>
          <t>TOMELILLA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32955-2026</t>
        </is>
      </c>
      <c r="B118" t="inlineStr">
        <is>
          <t>avverkningsanmälan</t>
        </is>
      </c>
      <c r="C118" t="inlineStr">
        <is>
          <t>Föryngringsavverkning</t>
        </is>
      </c>
      <c r="D118" s="1" t="n">
        <v>46244</v>
      </c>
      <c r="E118" s="1" t="n">
        <v>46310</v>
      </c>
      <c r="F118" t="inlineStr">
        <is>
          <t>SKÅNE LÄN</t>
        </is>
      </c>
      <c r="G118" t="inlineStr">
        <is>
          <t>TOMELILLA</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8455-2024</t>
        </is>
      </c>
      <c r="B119" t="inlineStr">
        <is>
          <t>avverkningsanmälan</t>
        </is>
      </c>
      <c r="C119" t="inlineStr">
        <is>
          <t>Föryngringsavverkning</t>
        </is>
      </c>
      <c r="D119" s="1" t="n">
        <v>45354</v>
      </c>
      <c r="E119" s="1" t="n">
        <v>46310</v>
      </c>
      <c r="F119" t="inlineStr">
        <is>
          <t>SKÅNE LÄN</t>
        </is>
      </c>
      <c r="G119" t="inlineStr">
        <is>
          <t>TOMELILLA</t>
        </is>
      </c>
      <c r="H119" t="inlineStr">
        <is>
          <t>Övriga Aktiebolag</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16027-2022</t>
        </is>
      </c>
      <c r="B120" t="inlineStr">
        <is>
          <t>avverkningsanmälan</t>
        </is>
      </c>
      <c r="C120" t="inlineStr">
        <is>
          <t>Föryngringsavverkning</t>
        </is>
      </c>
      <c r="D120" s="1" t="n">
        <v>44665</v>
      </c>
      <c r="E120" s="1" t="n">
        <v>46310</v>
      </c>
      <c r="F120" t="inlineStr">
        <is>
          <t>SKÅNE LÄN</t>
        </is>
      </c>
      <c r="G120" t="inlineStr">
        <is>
          <t>TOMELILLA</t>
        </is>
      </c>
      <c r="H120" t="inlineStr">
        <is>
          <t>Övriga Aktiebolag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40128-2026</t>
        </is>
      </c>
      <c r="B121" t="inlineStr">
        <is>
          <t>avverkningsanmälan</t>
        </is>
      </c>
      <c r="C121" t="inlineStr">
        <is>
          <t>Föryngringsavverkning</t>
        </is>
      </c>
      <c r="D121" s="1" t="n">
        <v>46293</v>
      </c>
      <c r="E121" s="1" t="n">
        <v>46310</v>
      </c>
      <c r="F121" t="inlineStr">
        <is>
          <t>SKÅNE LÄN</t>
        </is>
      </c>
      <c r="G121" t="inlineStr">
        <is>
          <t>TOMELILLA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40129-2026</t>
        </is>
      </c>
      <c r="B122" t="inlineStr">
        <is>
          <t>avverkningsanmälan</t>
        </is>
      </c>
      <c r="C122" t="inlineStr">
        <is>
          <t>Föryngringsavverkning</t>
        </is>
      </c>
      <c r="D122" s="1" t="n">
        <v>46293</v>
      </c>
      <c r="E122" s="1" t="n">
        <v>46310</v>
      </c>
      <c r="F122" t="inlineStr">
        <is>
          <t>SKÅNE LÄN</t>
        </is>
      </c>
      <c r="G122" t="inlineStr">
        <is>
          <t>TOMELILLA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25597-2026</t>
        </is>
      </c>
      <c r="B123" t="inlineStr">
        <is>
          <t>avverkningsanmälan</t>
        </is>
      </c>
      <c r="C123" t="inlineStr">
        <is>
          <t>Föryngringsavverkning</t>
        </is>
      </c>
      <c r="D123" s="1" t="n">
        <v>46177</v>
      </c>
      <c r="E123" s="1" t="n">
        <v>46310</v>
      </c>
      <c r="F123" t="inlineStr">
        <is>
          <t>SKÅNE LÄN</t>
        </is>
      </c>
      <c r="G123" t="inlineStr">
        <is>
          <t>TOMELILLA</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4651-2024</t>
        </is>
      </c>
      <c r="B124" t="inlineStr">
        <is>
          <t>avverkningsanmälan</t>
        </is>
      </c>
      <c r="C124" t="inlineStr">
        <is>
          <t>Föryngringsavverkning</t>
        </is>
      </c>
      <c r="D124" s="1" t="n">
        <v>45328</v>
      </c>
      <c r="E124" s="1" t="n">
        <v>46310</v>
      </c>
      <c r="F124" t="inlineStr">
        <is>
          <t>SKÅNE LÄN</t>
        </is>
      </c>
      <c r="G124" t="inlineStr">
        <is>
          <t>TOMELILLA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12988-2024</t>
        </is>
      </c>
      <c r="B125" t="inlineStr">
        <is>
          <t>avverkningsanmälan</t>
        </is>
      </c>
      <c r="C125" t="inlineStr">
        <is>
          <t>Föryngringsavverkning</t>
        </is>
      </c>
      <c r="D125" s="1" t="n">
        <v>45385</v>
      </c>
      <c r="E125" s="1" t="n">
        <v>46310</v>
      </c>
      <c r="F125" t="inlineStr">
        <is>
          <t>SKÅNE LÄN</t>
        </is>
      </c>
      <c r="G125" t="inlineStr">
        <is>
          <t>TOMELILLA</t>
        </is>
      </c>
      <c r="H125" t="inlineStr">
        <is>
          <t>Övriga Aktiebolag</t>
        </is>
      </c>
      <c r="I125" t="n">
        <v>16.2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37743-2026</t>
        </is>
      </c>
      <c r="B126" t="inlineStr">
        <is>
          <t>avverkningsanmälan</t>
        </is>
      </c>
      <c r="C126" t="inlineStr">
        <is>
          <t>Föryngringsavverkning</t>
        </is>
      </c>
      <c r="D126" s="1" t="n">
        <v>46279</v>
      </c>
      <c r="E126" s="1" t="n">
        <v>46310</v>
      </c>
      <c r="F126" t="inlineStr">
        <is>
          <t>SKÅNE LÄN</t>
        </is>
      </c>
      <c r="G126" t="inlineStr">
        <is>
          <t>TOMELILLA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15305-2025</t>
        </is>
      </c>
      <c r="B127" t="inlineStr">
        <is>
          <t>avverkningsanmälan</t>
        </is>
      </c>
      <c r="C127" t="inlineStr">
        <is>
          <t>Avverkning för annat ändamål</t>
        </is>
      </c>
      <c r="D127" s="1" t="n">
        <v>45746</v>
      </c>
      <c r="E127" s="1" t="n">
        <v>46310</v>
      </c>
      <c r="F127" t="inlineStr">
        <is>
          <t>SKÅNE LÄN</t>
        </is>
      </c>
      <c r="G127" t="inlineStr">
        <is>
          <t>TOMELILLA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60817-2023</t>
        </is>
      </c>
      <c r="B128" t="inlineStr">
        <is>
          <t>avverkningsanmälan</t>
        </is>
      </c>
      <c r="C128" t="inlineStr">
        <is>
          <t>Föryngringsavverkning</t>
        </is>
      </c>
      <c r="D128" s="1" t="n">
        <v>45260</v>
      </c>
      <c r="E128" s="1" t="n">
        <v>46310</v>
      </c>
      <c r="F128" t="inlineStr">
        <is>
          <t>SKÅNE LÄN</t>
        </is>
      </c>
      <c r="G128" t="inlineStr">
        <is>
          <t>TOMELILLA</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4023-2024</t>
        </is>
      </c>
      <c r="B129" t="inlineStr">
        <is>
          <t>avverkningsanmälan</t>
        </is>
      </c>
      <c r="C129" t="inlineStr">
        <is>
          <t>Föryngringsavverkning</t>
        </is>
      </c>
      <c r="D129" s="1" t="n">
        <v>45323</v>
      </c>
      <c r="E129" s="1" t="n">
        <v>46310</v>
      </c>
      <c r="F129" t="inlineStr">
        <is>
          <t>SKÅNE LÄN</t>
        </is>
      </c>
      <c r="G129" t="inlineStr">
        <is>
          <t>TOMELILLA</t>
        </is>
      </c>
      <c r="H129" t="inlineStr">
        <is>
          <t>Övriga Aktiebolag</t>
        </is>
      </c>
      <c r="I129" t="n">
        <v>15.2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32948-2026</t>
        </is>
      </c>
      <c r="B130" t="inlineStr">
        <is>
          <t>avverkningsanmälan</t>
        </is>
      </c>
      <c r="C130" t="inlineStr">
        <is>
          <t>Föryngringsavverkning</t>
        </is>
      </c>
      <c r="D130" s="1" t="n">
        <v>46244</v>
      </c>
      <c r="E130" s="1" t="n">
        <v>46310</v>
      </c>
      <c r="F130" t="inlineStr">
        <is>
          <t>SKÅNE LÄN</t>
        </is>
      </c>
      <c r="G130" t="inlineStr">
        <is>
          <t>TOMELILLA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10908-2026</t>
        </is>
      </c>
      <c r="B131" t="inlineStr">
        <is>
          <t>avverkningsanmälan</t>
        </is>
      </c>
      <c r="C131" t="inlineStr">
        <is>
          <t>Föryngringsavverkning</t>
        </is>
      </c>
      <c r="D131" s="1" t="n">
        <v>46079</v>
      </c>
      <c r="E131" s="1" t="n">
        <v>46310</v>
      </c>
      <c r="F131" t="inlineStr">
        <is>
          <t>SKÅNE LÄN</t>
        </is>
      </c>
      <c r="G131" t="inlineStr">
        <is>
          <t>TOMELILLA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12310-2023</t>
        </is>
      </c>
      <c r="B132" t="inlineStr">
        <is>
          <t>avverkningsanmälan</t>
        </is>
      </c>
      <c r="C132" t="inlineStr">
        <is>
          <t>Föryngringsavverkning</t>
        </is>
      </c>
      <c r="D132" s="1" t="n">
        <v>44999</v>
      </c>
      <c r="E132" s="1" t="n">
        <v>46310</v>
      </c>
      <c r="F132" t="inlineStr">
        <is>
          <t>SKÅNE LÄN</t>
        </is>
      </c>
      <c r="G132" t="inlineStr">
        <is>
          <t>TOMELILLA</t>
        </is>
      </c>
      <c r="H132" t="inlineStr">
        <is>
          <t>Sveaskog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15921-2025</t>
        </is>
      </c>
      <c r="B133" t="inlineStr">
        <is>
          <t>avverkningsanmälan</t>
        </is>
      </c>
      <c r="C133" t="inlineStr">
        <is>
          <t>Föryngringsavverkning</t>
        </is>
      </c>
      <c r="D133" s="1" t="n">
        <v>45749</v>
      </c>
      <c r="E133" s="1" t="n">
        <v>46310</v>
      </c>
      <c r="F133" t="inlineStr">
        <is>
          <t>SKÅNE LÄN</t>
        </is>
      </c>
      <c r="G133" t="inlineStr">
        <is>
          <t>TOMELILLA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35742-2024</t>
        </is>
      </c>
      <c r="B134" t="inlineStr">
        <is>
          <t>avverkningsanmälan</t>
        </is>
      </c>
      <c r="C134" t="inlineStr">
        <is>
          <t>Föryngringsavverkning</t>
        </is>
      </c>
      <c r="D134" s="1" t="n">
        <v>45532</v>
      </c>
      <c r="E134" s="1" t="n">
        <v>46310</v>
      </c>
      <c r="F134" t="inlineStr">
        <is>
          <t>SKÅNE LÄN</t>
        </is>
      </c>
      <c r="G134" t="inlineStr">
        <is>
          <t>TOMELILLA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35715-2024</t>
        </is>
      </c>
      <c r="B135" t="inlineStr">
        <is>
          <t>avverkningsanmälan</t>
        </is>
      </c>
      <c r="C135" t="inlineStr">
        <is>
          <t>Föryngringsavverkning</t>
        </is>
      </c>
      <c r="D135" s="1" t="n">
        <v>45532</v>
      </c>
      <c r="E135" s="1" t="n">
        <v>46310</v>
      </c>
      <c r="F135" t="inlineStr">
        <is>
          <t>SKÅNE LÄN</t>
        </is>
      </c>
      <c r="G135" t="inlineStr">
        <is>
          <t>TOMELILLA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11806-2025</t>
        </is>
      </c>
      <c r="B136" t="inlineStr">
        <is>
          <t>avverkningsanmälan</t>
        </is>
      </c>
      <c r="C136" t="inlineStr">
        <is>
          <t>Föryngringsavverkning</t>
        </is>
      </c>
      <c r="D136" s="1" t="n">
        <v>45727</v>
      </c>
      <c r="E136" s="1" t="n">
        <v>46310</v>
      </c>
      <c r="F136" t="inlineStr">
        <is>
          <t>SKÅNE LÄN</t>
        </is>
      </c>
      <c r="G136" t="inlineStr">
        <is>
          <t>TOMELILLA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11810-2025</t>
        </is>
      </c>
      <c r="B137" t="inlineStr">
        <is>
          <t>avverkningsanmälan</t>
        </is>
      </c>
      <c r="C137" t="inlineStr">
        <is>
          <t>Föryngringsavverkning</t>
        </is>
      </c>
      <c r="D137" s="1" t="n">
        <v>45727</v>
      </c>
      <c r="E137" s="1" t="n">
        <v>46310</v>
      </c>
      <c r="F137" t="inlineStr">
        <is>
          <t>SKÅNE LÄN</t>
        </is>
      </c>
      <c r="G137" t="inlineStr">
        <is>
          <t>TOMELILLA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23185-2025</t>
        </is>
      </c>
      <c r="B138" t="inlineStr">
        <is>
          <t>avverkningsanmälan</t>
        </is>
      </c>
      <c r="C138" t="inlineStr">
        <is>
          <t>Avverkning för att bevara och utveckla /försöksver</t>
        </is>
      </c>
      <c r="D138" s="1" t="n">
        <v>45791</v>
      </c>
      <c r="E138" s="1" t="n">
        <v>46310</v>
      </c>
      <c r="F138" t="inlineStr">
        <is>
          <t>SKÅNE LÄN</t>
        </is>
      </c>
      <c r="G138" t="inlineStr">
        <is>
          <t>TOMELILLA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35897-2026</t>
        </is>
      </c>
      <c r="B139" t="inlineStr">
        <is>
          <t>avverkningsanmälan</t>
        </is>
      </c>
      <c r="C139" t="inlineStr">
        <is>
          <t>Föryngringsavverkning</t>
        </is>
      </c>
      <c r="D139" s="1" t="n">
        <v>46266</v>
      </c>
      <c r="E139" s="1" t="n">
        <v>46310</v>
      </c>
      <c r="F139" t="inlineStr">
        <is>
          <t>SKÅNE LÄN</t>
        </is>
      </c>
      <c r="G139" t="inlineStr">
        <is>
          <t>TOMELILLA</t>
        </is>
      </c>
      <c r="I139" t="n">
        <v>3</v>
      </c>
      <c r="J139" t="n">
        <v>0</v>
      </c>
      <c r="K139" t="n">
        <v>0</v>
      </c>
      <c r="L139" t="n">
        <v>0</v>
      </c>
      <c r="M139" t="n">
        <v>0</v>
      </c>
      <c r="N139" t="n">
        <v>0</v>
      </c>
      <c r="O139" t="n">
        <v>0</v>
      </c>
      <c r="P139" t="n">
        <v>0</v>
      </c>
      <c r="Q139" t="n">
        <v>0</v>
      </c>
      <c r="R139" t="n">
        <v>0</v>
      </c>
      <c r="S139" t="n">
        <v>0</v>
      </c>
      <c r="T139" t="n">
        <v>0</v>
      </c>
      <c r="U139" t="n">
        <v>0</v>
      </c>
      <c r="V139" s="2" t="inlineStr"/>
    </row>
    <row r="140">
      <c r="A140" t="inlineStr">
        <is>
          <t>S 3422-2024</t>
        </is>
      </c>
      <c r="B140" t="inlineStr">
        <is>
          <t>samrådsanmälan</t>
        </is>
      </c>
      <c r="C140" t="inlineStr">
        <is>
          <t>Annan skogsbruksåtgärd</t>
        </is>
      </c>
      <c r="D140" s="1" t="n">
        <v>45537</v>
      </c>
      <c r="E140" s="1" t="n">
        <v>46310</v>
      </c>
      <c r="F140" t="inlineStr">
        <is>
          <t>SKÅNE LÄN</t>
        </is>
      </c>
      <c r="G140" t="inlineStr">
        <is>
          <t>TOMELILLA</t>
        </is>
      </c>
      <c r="H140" t="inlineStr">
        <is>
          <t>Sveaskog</t>
        </is>
      </c>
      <c r="I140" t="n">
        <v>0.1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2026-10-15T02:00:37Z</dcterms:created>
  <dcterms:modified xmlns:dcterms="http://purl.org/dc/terms/" xmlns:xsi="http://www.w3.org/2001/XMLSchema-instance" xsi:type="dcterms:W3CDTF">2026-10-15T02:00:37Z</dcterms:modified>
</cp:coreProperties>
</file>