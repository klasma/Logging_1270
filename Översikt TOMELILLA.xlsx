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46196</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46196</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46196</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46196</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46196</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46196</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46196</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46196</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46196</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17907-2024</t>
        </is>
      </c>
      <c r="B11" s="1" t="n">
        <v>45419</v>
      </c>
      <c r="C11" s="1" t="n">
        <v>46196</v>
      </c>
      <c r="D11" t="inlineStr">
        <is>
          <t>SKÅNE LÄN</t>
        </is>
      </c>
      <c r="E11" t="inlineStr">
        <is>
          <t>TOMELILLA</t>
        </is>
      </c>
      <c r="G11" t="n">
        <v>3.1</v>
      </c>
      <c r="H11" t="n">
        <v>0</v>
      </c>
      <c r="I11" t="n">
        <v>0</v>
      </c>
      <c r="J11" t="n">
        <v>0</v>
      </c>
      <c r="K11" t="n">
        <v>0</v>
      </c>
      <c r="L11" t="n">
        <v>0</v>
      </c>
      <c r="M11" t="n">
        <v>0</v>
      </c>
      <c r="N11" t="n">
        <v>0</v>
      </c>
      <c r="O11" t="n">
        <v>0</v>
      </c>
      <c r="P11" t="n">
        <v>0</v>
      </c>
      <c r="Q11" t="n">
        <v>1</v>
      </c>
      <c r="R11" s="2" t="inlineStr">
        <is>
          <t>Gulplister</t>
        </is>
      </c>
      <c r="S11">
        <f>HYPERLINK("https://klasma.github.io/Logging_1270/artfynd/A 17907-2024 artfynd.xlsx", "A 17907-2024")</f>
        <v/>
      </c>
      <c r="T11">
        <f>HYPERLINK("https://klasma.github.io/Logging_1270/kartor/A 17907-2024 karta.png", "A 17907-2024")</f>
        <v/>
      </c>
      <c r="V11">
        <f>HYPERLINK("https://klasma.github.io/Logging_1270/klagomål/A 17907-2024 FSC-klagomål.docx", "A 17907-2024")</f>
        <v/>
      </c>
      <c r="W11">
        <f>HYPERLINK("https://klasma.github.io/Logging_1270/klagomålsmail/A 17907-2024 FSC-klagomål mail.docx", "A 17907-2024")</f>
        <v/>
      </c>
      <c r="X11">
        <f>HYPERLINK("https://klasma.github.io/Logging_1270/tillsyn/A 17907-2024 tillsynsbegäran.docx", "A 17907-2024")</f>
        <v/>
      </c>
      <c r="Y11">
        <f>HYPERLINK("https://klasma.github.io/Logging_1270/tillsynsmail/A 17907-2024 tillsynsbegäran mail.docx", "A 17907-2024")</f>
        <v/>
      </c>
    </row>
    <row r="12" ht="15" customHeight="1">
      <c r="A12" t="inlineStr">
        <is>
          <t>A 6261-2024</t>
        </is>
      </c>
      <c r="B12" s="1" t="n">
        <v>45337</v>
      </c>
      <c r="C12" s="1" t="n">
        <v>46196</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6261-2024</t>
        </is>
      </c>
      <c r="B13" s="1" t="n">
        <v>45337</v>
      </c>
      <c r="C13" s="1" t="n">
        <v>46196</v>
      </c>
      <c r="D13" t="inlineStr">
        <is>
          <t>SKÅNE LÄN</t>
        </is>
      </c>
      <c r="E13" t="inlineStr">
        <is>
          <t>TOMELILLA</t>
        </is>
      </c>
      <c r="G13" t="n">
        <v>12.6</v>
      </c>
      <c r="H13" t="n">
        <v>0</v>
      </c>
      <c r="I13" t="n">
        <v>1</v>
      </c>
      <c r="J13" t="n">
        <v>0</v>
      </c>
      <c r="K13" t="n">
        <v>0</v>
      </c>
      <c r="L13" t="n">
        <v>0</v>
      </c>
      <c r="M13" t="n">
        <v>0</v>
      </c>
      <c r="N13" t="n">
        <v>0</v>
      </c>
      <c r="O13" t="n">
        <v>0</v>
      </c>
      <c r="P13" t="n">
        <v>0</v>
      </c>
      <c r="Q13" t="n">
        <v>1</v>
      </c>
      <c r="R13" s="2" t="inlineStr">
        <is>
          <t>Blodticka</t>
        </is>
      </c>
      <c r="S13">
        <f>HYPERLINK("https://klasma.github.io/Logging_1270/artfynd/A 6261-2024 artfynd.xlsx", "A 6261-2024")</f>
        <v/>
      </c>
      <c r="T13">
        <f>HYPERLINK("https://klasma.github.io/Logging_1270/kartor/A 6261-2024 karta.png", "A 6261-2024")</f>
        <v/>
      </c>
      <c r="V13">
        <f>HYPERLINK("https://klasma.github.io/Logging_1270/klagomål/A 6261-2024 FSC-klagomål.docx", "A 6261-2024")</f>
        <v/>
      </c>
      <c r="W13">
        <f>HYPERLINK("https://klasma.github.io/Logging_1270/klagomålsmail/A 6261-2024 FSC-klagomål mail.docx", "A 6261-2024")</f>
        <v/>
      </c>
      <c r="X13">
        <f>HYPERLINK("https://klasma.github.io/Logging_1270/tillsyn/A 6261-2024 tillsynsbegäran.docx", "A 6261-2024")</f>
        <v/>
      </c>
      <c r="Y13">
        <f>HYPERLINK("https://klasma.github.io/Logging_1270/tillsynsmail/A 6261-2024 tillsynsbegäran mail.docx", "A 6261-2024")</f>
        <v/>
      </c>
    </row>
    <row r="14" ht="15" customHeight="1">
      <c r="A14" t="inlineStr">
        <is>
          <t>A 49813-2025</t>
        </is>
      </c>
      <c r="B14" s="1" t="n">
        <v>45940</v>
      </c>
      <c r="C14" s="1" t="n">
        <v>46196</v>
      </c>
      <c r="D14" t="inlineStr">
        <is>
          <t>SKÅNE LÄN</t>
        </is>
      </c>
      <c r="E14" t="inlineStr">
        <is>
          <t>TOMELILLA</t>
        </is>
      </c>
      <c r="G14" t="n">
        <v>4.5</v>
      </c>
      <c r="H14" t="n">
        <v>1</v>
      </c>
      <c r="I14" t="n">
        <v>0</v>
      </c>
      <c r="J14" t="n">
        <v>0</v>
      </c>
      <c r="K14" t="n">
        <v>0</v>
      </c>
      <c r="L14" t="n">
        <v>0</v>
      </c>
      <c r="M14" t="n">
        <v>0</v>
      </c>
      <c r="N14" t="n">
        <v>0</v>
      </c>
      <c r="O14" t="n">
        <v>0</v>
      </c>
      <c r="P14" t="n">
        <v>0</v>
      </c>
      <c r="Q14" t="n">
        <v>1</v>
      </c>
      <c r="R14" s="2" t="inlineStr">
        <is>
          <t>Långbensgroda</t>
        </is>
      </c>
      <c r="S14">
        <f>HYPERLINK("https://klasma.github.io/Logging_1270/artfynd/A 49813-2025 artfynd.xlsx", "A 49813-2025")</f>
        <v/>
      </c>
      <c r="T14">
        <f>HYPERLINK("https://klasma.github.io/Logging_1270/kartor/A 49813-2025 karta.png", "A 49813-2025")</f>
        <v/>
      </c>
      <c r="V14">
        <f>HYPERLINK("https://klasma.github.io/Logging_1270/klagomål/A 49813-2025 FSC-klagomål.docx", "A 49813-2025")</f>
        <v/>
      </c>
      <c r="W14">
        <f>HYPERLINK("https://klasma.github.io/Logging_1270/klagomålsmail/A 49813-2025 FSC-klagomål mail.docx", "A 49813-2025")</f>
        <v/>
      </c>
      <c r="X14">
        <f>HYPERLINK("https://klasma.github.io/Logging_1270/tillsyn/A 49813-2025 tillsynsbegäran.docx", "A 49813-2025")</f>
        <v/>
      </c>
      <c r="Y14">
        <f>HYPERLINK("https://klasma.github.io/Logging_1270/tillsynsmail/A 49813-2025 tillsynsbegäran mail.docx", "A 49813-2025")</f>
        <v/>
      </c>
    </row>
    <row r="15" ht="15" customHeight="1">
      <c r="A15" t="inlineStr">
        <is>
          <t>A 26958-2025</t>
        </is>
      </c>
      <c r="B15" s="1" t="n">
        <v>45811</v>
      </c>
      <c r="C15" s="1" t="n">
        <v>46196</v>
      </c>
      <c r="D15" t="inlineStr">
        <is>
          <t>SKÅNE LÄN</t>
        </is>
      </c>
      <c r="E15" t="inlineStr">
        <is>
          <t>TOMELILLA</t>
        </is>
      </c>
      <c r="G15" t="n">
        <v>2.9</v>
      </c>
      <c r="H15" t="n">
        <v>0</v>
      </c>
      <c r="I15" t="n">
        <v>1</v>
      </c>
      <c r="J15" t="n">
        <v>0</v>
      </c>
      <c r="K15" t="n">
        <v>0</v>
      </c>
      <c r="L15" t="n">
        <v>0</v>
      </c>
      <c r="M15" t="n">
        <v>0</v>
      </c>
      <c r="N15" t="n">
        <v>0</v>
      </c>
      <c r="O15" t="n">
        <v>0</v>
      </c>
      <c r="P15" t="n">
        <v>0</v>
      </c>
      <c r="Q15" t="n">
        <v>1</v>
      </c>
      <c r="R15" s="2" t="inlineStr">
        <is>
          <t>Murgröna</t>
        </is>
      </c>
      <c r="S15">
        <f>HYPERLINK("https://klasma.github.io/Logging_1270/artfynd/A 26958-2025 artfynd.xlsx", "A 26958-2025")</f>
        <v/>
      </c>
      <c r="T15">
        <f>HYPERLINK("https://klasma.github.io/Logging_1270/kartor/A 26958-2025 karta.png", "A 26958-2025")</f>
        <v/>
      </c>
      <c r="V15">
        <f>HYPERLINK("https://klasma.github.io/Logging_1270/klagomål/A 26958-2025 FSC-klagomål.docx", "A 26958-2025")</f>
        <v/>
      </c>
      <c r="W15">
        <f>HYPERLINK("https://klasma.github.io/Logging_1270/klagomålsmail/A 26958-2025 FSC-klagomål mail.docx", "A 26958-2025")</f>
        <v/>
      </c>
      <c r="X15">
        <f>HYPERLINK("https://klasma.github.io/Logging_1270/tillsyn/A 26958-2025 tillsynsbegäran.docx", "A 26958-2025")</f>
        <v/>
      </c>
      <c r="Y15">
        <f>HYPERLINK("https://klasma.github.io/Logging_1270/tillsynsmail/A 26958-2025 tillsynsbegäran mail.docx", "A 26958-2025")</f>
        <v/>
      </c>
    </row>
    <row r="16" ht="15" customHeight="1">
      <c r="A16" t="inlineStr">
        <is>
          <t>A 61314-2025</t>
        </is>
      </c>
      <c r="B16" s="1" t="n">
        <v>46000</v>
      </c>
      <c r="C16" s="1" t="n">
        <v>46196</v>
      </c>
      <c r="D16" t="inlineStr">
        <is>
          <t>SKÅNE LÄN</t>
        </is>
      </c>
      <c r="E16" t="inlineStr">
        <is>
          <t>TOMELILLA</t>
        </is>
      </c>
      <c r="G16" t="n">
        <v>0.8</v>
      </c>
      <c r="H16" t="n">
        <v>1</v>
      </c>
      <c r="I16" t="n">
        <v>0</v>
      </c>
      <c r="J16" t="n">
        <v>0</v>
      </c>
      <c r="K16" t="n">
        <v>0</v>
      </c>
      <c r="L16" t="n">
        <v>0</v>
      </c>
      <c r="M16" t="n">
        <v>0</v>
      </c>
      <c r="N16" t="n">
        <v>0</v>
      </c>
      <c r="O16" t="n">
        <v>0</v>
      </c>
      <c r="P16" t="n">
        <v>0</v>
      </c>
      <c r="Q16" t="n">
        <v>1</v>
      </c>
      <c r="R16" s="2" t="inlineStr">
        <is>
          <t>Hasselmus</t>
        </is>
      </c>
      <c r="S16">
        <f>HYPERLINK("https://klasma.github.io/Logging_1270/artfynd/A 61314-2025 artfynd.xlsx", "A 61314-2025")</f>
        <v/>
      </c>
      <c r="T16">
        <f>HYPERLINK("https://klasma.github.io/Logging_1270/kartor/A 61314-2025 karta.png", "A 61314-2025")</f>
        <v/>
      </c>
      <c r="V16">
        <f>HYPERLINK("https://klasma.github.io/Logging_1270/klagomål/A 61314-2025 FSC-klagomål.docx", "A 61314-2025")</f>
        <v/>
      </c>
      <c r="W16">
        <f>HYPERLINK("https://klasma.github.io/Logging_1270/klagomålsmail/A 61314-2025 FSC-klagomål mail.docx", "A 61314-2025")</f>
        <v/>
      </c>
      <c r="X16">
        <f>HYPERLINK("https://klasma.github.io/Logging_1270/tillsyn/A 61314-2025 tillsynsbegäran.docx", "A 61314-2025")</f>
        <v/>
      </c>
      <c r="Y16">
        <f>HYPERLINK("https://klasma.github.io/Logging_1270/tillsynsmail/A 61314-2025 tillsynsbegäran mail.docx", "A 61314-2025")</f>
        <v/>
      </c>
    </row>
    <row r="17" ht="15" customHeight="1">
      <c r="A17" t="inlineStr">
        <is>
          <t>A 26823-2026</t>
        </is>
      </c>
      <c r="B17" s="1" t="n">
        <v>46183</v>
      </c>
      <c r="C17" s="1" t="n">
        <v>46196</v>
      </c>
      <c r="D17" t="inlineStr">
        <is>
          <t>SKÅNE LÄN</t>
        </is>
      </c>
      <c r="E17" t="inlineStr">
        <is>
          <t>TOMELILLA</t>
        </is>
      </c>
      <c r="G17" t="n">
        <v>12.9</v>
      </c>
      <c r="H17" t="n">
        <v>0</v>
      </c>
      <c r="I17" t="n">
        <v>0</v>
      </c>
      <c r="J17" t="n">
        <v>1</v>
      </c>
      <c r="K17" t="n">
        <v>0</v>
      </c>
      <c r="L17" t="n">
        <v>0</v>
      </c>
      <c r="M17" t="n">
        <v>0</v>
      </c>
      <c r="N17" t="n">
        <v>0</v>
      </c>
      <c r="O17" t="n">
        <v>1</v>
      </c>
      <c r="P17" t="n">
        <v>0</v>
      </c>
      <c r="Q17" t="n">
        <v>1</v>
      </c>
      <c r="R17" s="2" t="inlineStr">
        <is>
          <t>Bokkantlav</t>
        </is>
      </c>
      <c r="S17">
        <f>HYPERLINK("https://klasma.github.io/Logging_1270/artfynd/A 26823-2026 artfynd.xlsx", "A 26823-2026")</f>
        <v/>
      </c>
      <c r="T17">
        <f>HYPERLINK("https://klasma.github.io/Logging_1270/kartor/A 26823-2026 karta.png", "A 26823-2026")</f>
        <v/>
      </c>
      <c r="V17">
        <f>HYPERLINK("https://klasma.github.io/Logging_1270/klagomål/A 26823-2026 FSC-klagomål.docx", "A 26823-2026")</f>
        <v/>
      </c>
      <c r="W17">
        <f>HYPERLINK("https://klasma.github.io/Logging_1270/klagomålsmail/A 26823-2026 FSC-klagomål mail.docx", "A 26823-2026")</f>
        <v/>
      </c>
      <c r="X17">
        <f>HYPERLINK("https://klasma.github.io/Logging_1270/tillsyn/A 26823-2026 tillsynsbegäran.docx", "A 26823-2026")</f>
        <v/>
      </c>
      <c r="Y17">
        <f>HYPERLINK("https://klasma.github.io/Logging_1270/tillsynsmail/A 26823-2026 tillsynsbegäran mail.docx", "A 26823-2026")</f>
        <v/>
      </c>
    </row>
    <row r="18" ht="15" customHeight="1">
      <c r="A18" t="inlineStr">
        <is>
          <t>A 20397-2026</t>
        </is>
      </c>
      <c r="B18" s="1" t="n">
        <v>46139</v>
      </c>
      <c r="C18" s="1" t="n">
        <v>46196</v>
      </c>
      <c r="D18" t="inlineStr">
        <is>
          <t>SKÅNE LÄN</t>
        </is>
      </c>
      <c r="E18" t="inlineStr">
        <is>
          <t>TOMELILLA</t>
        </is>
      </c>
      <c r="G18" t="n">
        <v>4.2</v>
      </c>
      <c r="H18" t="n">
        <v>1</v>
      </c>
      <c r="I18" t="n">
        <v>0</v>
      </c>
      <c r="J18" t="n">
        <v>0</v>
      </c>
      <c r="K18" t="n">
        <v>0</v>
      </c>
      <c r="L18" t="n">
        <v>0</v>
      </c>
      <c r="M18" t="n">
        <v>0</v>
      </c>
      <c r="N18" t="n">
        <v>0</v>
      </c>
      <c r="O18" t="n">
        <v>0</v>
      </c>
      <c r="P18" t="n">
        <v>0</v>
      </c>
      <c r="Q18" t="n">
        <v>1</v>
      </c>
      <c r="R18" s="2" t="inlineStr">
        <is>
          <t>Långbensgroda</t>
        </is>
      </c>
      <c r="S18">
        <f>HYPERLINK("https://klasma.github.io/Logging_1270/artfynd/A 20397-2026 artfynd.xlsx", "A 20397-2026")</f>
        <v/>
      </c>
      <c r="T18">
        <f>HYPERLINK("https://klasma.github.io/Logging_1270/kartor/A 20397-2026 karta.png", "A 20397-2026")</f>
        <v/>
      </c>
      <c r="V18">
        <f>HYPERLINK("https://klasma.github.io/Logging_1270/klagomål/A 20397-2026 FSC-klagomål.docx", "A 20397-2026")</f>
        <v/>
      </c>
      <c r="W18">
        <f>HYPERLINK("https://klasma.github.io/Logging_1270/klagomålsmail/A 20397-2026 FSC-klagomål mail.docx", "A 20397-2026")</f>
        <v/>
      </c>
      <c r="X18">
        <f>HYPERLINK("https://klasma.github.io/Logging_1270/tillsyn/A 20397-2026 tillsynsbegäran.docx", "A 20397-2026")</f>
        <v/>
      </c>
      <c r="Y18">
        <f>HYPERLINK("https://klasma.github.io/Logging_1270/tillsynsmail/A 20397-2026 tillsynsbegäran mail.docx", "A 20397-2026")</f>
        <v/>
      </c>
    </row>
    <row r="19" ht="15" customHeight="1">
      <c r="A19" t="inlineStr">
        <is>
          <t>A 2193-2022</t>
        </is>
      </c>
      <c r="B19" s="1" t="n">
        <v>44578</v>
      </c>
      <c r="C19" s="1" t="n">
        <v>46196</v>
      </c>
      <c r="D19" t="inlineStr">
        <is>
          <t>SKÅNE LÄN</t>
        </is>
      </c>
      <c r="E19" t="inlineStr">
        <is>
          <t>TOMELILLA</t>
        </is>
      </c>
      <c r="F19" t="inlineStr">
        <is>
          <t>Sveaskog</t>
        </is>
      </c>
      <c r="G19" t="n">
        <v>0.5</v>
      </c>
      <c r="H19" t="n">
        <v>0</v>
      </c>
      <c r="I19" t="n">
        <v>0</v>
      </c>
      <c r="J19" t="n">
        <v>1</v>
      </c>
      <c r="K19" t="n">
        <v>0</v>
      </c>
      <c r="L19" t="n">
        <v>0</v>
      </c>
      <c r="M19" t="n">
        <v>0</v>
      </c>
      <c r="N19" t="n">
        <v>0</v>
      </c>
      <c r="O19" t="n">
        <v>1</v>
      </c>
      <c r="P19" t="n">
        <v>0</v>
      </c>
      <c r="Q19" t="n">
        <v>1</v>
      </c>
      <c r="R19" s="2" t="inlineStr">
        <is>
          <t>Skogslysing</t>
        </is>
      </c>
      <c r="S19">
        <f>HYPERLINK("https://klasma.github.io/Logging_1270/artfynd/A 2193-2022 artfynd.xlsx", "A 2193-2022")</f>
        <v/>
      </c>
      <c r="T19">
        <f>HYPERLINK("https://klasma.github.io/Logging_1270/kartor/A 2193-2022 karta.png", "A 2193-2022")</f>
        <v/>
      </c>
      <c r="V19">
        <f>HYPERLINK("https://klasma.github.io/Logging_1270/klagomål/A 2193-2022 FSC-klagomål.docx", "A 2193-2022")</f>
        <v/>
      </c>
      <c r="W19">
        <f>HYPERLINK("https://klasma.github.io/Logging_1270/klagomålsmail/A 2193-2022 FSC-klagomål mail.docx", "A 2193-2022")</f>
        <v/>
      </c>
      <c r="X19">
        <f>HYPERLINK("https://klasma.github.io/Logging_1270/tillsyn/A 2193-2022 tillsynsbegäran.docx", "A 2193-2022")</f>
        <v/>
      </c>
      <c r="Y19">
        <f>HYPERLINK("https://klasma.github.io/Logging_1270/tillsynsmail/A 2193-2022 tillsynsbegäran mail.docx", "A 2193-2022")</f>
        <v/>
      </c>
    </row>
    <row r="20" ht="15" customHeight="1">
      <c r="A20" t="inlineStr">
        <is>
          <t>A 6262-2024</t>
        </is>
      </c>
      <c r="B20" s="1" t="n">
        <v>45337</v>
      </c>
      <c r="C20" s="1" t="n">
        <v>46196</v>
      </c>
      <c r="D20" t="inlineStr">
        <is>
          <t>SKÅNE LÄN</t>
        </is>
      </c>
      <c r="E20" t="inlineStr">
        <is>
          <t>TOMELILLA</t>
        </is>
      </c>
      <c r="G20" t="n">
        <v>4.5</v>
      </c>
      <c r="H20" t="n">
        <v>1</v>
      </c>
      <c r="I20" t="n">
        <v>0</v>
      </c>
      <c r="J20" t="n">
        <v>0</v>
      </c>
      <c r="K20" t="n">
        <v>0</v>
      </c>
      <c r="L20" t="n">
        <v>0</v>
      </c>
      <c r="M20" t="n">
        <v>0</v>
      </c>
      <c r="N20" t="n">
        <v>0</v>
      </c>
      <c r="O20" t="n">
        <v>0</v>
      </c>
      <c r="P20" t="n">
        <v>0</v>
      </c>
      <c r="Q20" t="n">
        <v>1</v>
      </c>
      <c r="R20" s="2" t="inlineStr">
        <is>
          <t>Kungsfågel</t>
        </is>
      </c>
      <c r="S20">
        <f>HYPERLINK("https://klasma.github.io/Logging_1270/artfynd/A 6262-2024 artfynd.xlsx", "A 6262-2024")</f>
        <v/>
      </c>
      <c r="T20">
        <f>HYPERLINK("https://klasma.github.io/Logging_1270/kartor/A 6262-2024 karta.png", "A 6262-2024")</f>
        <v/>
      </c>
      <c r="V20">
        <f>HYPERLINK("https://klasma.github.io/Logging_1270/klagomål/A 6262-2024 FSC-klagomål.docx", "A 6262-2024")</f>
        <v/>
      </c>
      <c r="W20">
        <f>HYPERLINK("https://klasma.github.io/Logging_1270/klagomålsmail/A 6262-2024 FSC-klagomål mail.docx", "A 6262-2024")</f>
        <v/>
      </c>
      <c r="X20">
        <f>HYPERLINK("https://klasma.github.io/Logging_1270/tillsyn/A 6262-2024 tillsynsbegäran.docx", "A 6262-2024")</f>
        <v/>
      </c>
      <c r="Y20">
        <f>HYPERLINK("https://klasma.github.io/Logging_1270/tillsynsmail/A 6262-2024 tillsynsbegäran mail.docx", "A 6262-2024")</f>
        <v/>
      </c>
    </row>
    <row r="21" ht="15" customHeight="1">
      <c r="A21" t="inlineStr">
        <is>
          <t>A 60820-2023</t>
        </is>
      </c>
      <c r="B21" s="1" t="n">
        <v>45260</v>
      </c>
      <c r="C21" s="1" t="n">
        <v>46196</v>
      </c>
      <c r="D21" t="inlineStr">
        <is>
          <t>SKÅNE LÄN</t>
        </is>
      </c>
      <c r="E21" t="inlineStr">
        <is>
          <t>TOMELILLA</t>
        </is>
      </c>
      <c r="G21" t="n">
        <v>4.6</v>
      </c>
      <c r="H21" t="n">
        <v>0</v>
      </c>
      <c r="I21" t="n">
        <v>1</v>
      </c>
      <c r="J21" t="n">
        <v>0</v>
      </c>
      <c r="K21" t="n">
        <v>0</v>
      </c>
      <c r="L21" t="n">
        <v>0</v>
      </c>
      <c r="M21" t="n">
        <v>0</v>
      </c>
      <c r="N21" t="n">
        <v>0</v>
      </c>
      <c r="O21" t="n">
        <v>0</v>
      </c>
      <c r="P21" t="n">
        <v>0</v>
      </c>
      <c r="Q21" t="n">
        <v>1</v>
      </c>
      <c r="R21" s="2" t="inlineStr">
        <is>
          <t>Guldlockmossa</t>
        </is>
      </c>
      <c r="S21">
        <f>HYPERLINK("https://klasma.github.io/Logging_1270/artfynd/A 60820-2023 artfynd.xlsx", "A 60820-2023")</f>
        <v/>
      </c>
      <c r="T21">
        <f>HYPERLINK("https://klasma.github.io/Logging_1270/kartor/A 60820-2023 karta.png", "A 60820-2023")</f>
        <v/>
      </c>
      <c r="V21">
        <f>HYPERLINK("https://klasma.github.io/Logging_1270/klagomål/A 60820-2023 FSC-klagomål.docx", "A 60820-2023")</f>
        <v/>
      </c>
      <c r="W21">
        <f>HYPERLINK("https://klasma.github.io/Logging_1270/klagomålsmail/A 60820-2023 FSC-klagomål mail.docx", "A 60820-2023")</f>
        <v/>
      </c>
      <c r="X21">
        <f>HYPERLINK("https://klasma.github.io/Logging_1270/tillsyn/A 60820-2023 tillsynsbegäran.docx", "A 60820-2023")</f>
        <v/>
      </c>
      <c r="Y21">
        <f>HYPERLINK("https://klasma.github.io/Logging_1270/tillsynsmail/A 60820-2023 tillsynsbegäran mail.docx", "A 60820-2023")</f>
        <v/>
      </c>
    </row>
    <row r="22" ht="15" customHeight="1">
      <c r="A22" t="inlineStr">
        <is>
          <t>A 28862-2023</t>
        </is>
      </c>
      <c r="B22" s="1" t="n">
        <v>45104</v>
      </c>
      <c r="C22" s="1" t="n">
        <v>46196</v>
      </c>
      <c r="D22" t="inlineStr">
        <is>
          <t>SKÅNE LÄN</t>
        </is>
      </c>
      <c r="E22" t="inlineStr">
        <is>
          <t>TOMELILLA</t>
        </is>
      </c>
      <c r="F22" t="inlineStr">
        <is>
          <t>Övriga Aktiebolag</t>
        </is>
      </c>
      <c r="G22" t="n">
        <v>6.6</v>
      </c>
      <c r="H22" t="n">
        <v>1</v>
      </c>
      <c r="I22" t="n">
        <v>0</v>
      </c>
      <c r="J22" t="n">
        <v>0</v>
      </c>
      <c r="K22" t="n">
        <v>0</v>
      </c>
      <c r="L22" t="n">
        <v>0</v>
      </c>
      <c r="M22" t="n">
        <v>0</v>
      </c>
      <c r="N22" t="n">
        <v>0</v>
      </c>
      <c r="O22" t="n">
        <v>0</v>
      </c>
      <c r="P22" t="n">
        <v>0</v>
      </c>
      <c r="Q22" t="n">
        <v>1</v>
      </c>
      <c r="R22" s="2" t="inlineStr">
        <is>
          <t>Långbensgroda</t>
        </is>
      </c>
      <c r="S22">
        <f>HYPERLINK("https://klasma.github.io/Logging_1270/artfynd/A 28862-2023 artfynd.xlsx", "A 28862-2023")</f>
        <v/>
      </c>
      <c r="T22">
        <f>HYPERLINK("https://klasma.github.io/Logging_1270/kartor/A 28862-2023 karta.png", "A 28862-2023")</f>
        <v/>
      </c>
      <c r="V22">
        <f>HYPERLINK("https://klasma.github.io/Logging_1270/klagomål/A 28862-2023 FSC-klagomål.docx", "A 28862-2023")</f>
        <v/>
      </c>
      <c r="W22">
        <f>HYPERLINK("https://klasma.github.io/Logging_1270/klagomålsmail/A 28862-2023 FSC-klagomål mail.docx", "A 28862-2023")</f>
        <v/>
      </c>
      <c r="X22">
        <f>HYPERLINK("https://klasma.github.io/Logging_1270/tillsyn/A 28862-2023 tillsynsbegäran.docx", "A 28862-2023")</f>
        <v/>
      </c>
      <c r="Y22">
        <f>HYPERLINK("https://klasma.github.io/Logging_1270/tillsynsmail/A 28862-2023 tillsynsbegäran mail.docx", "A 28862-2023")</f>
        <v/>
      </c>
    </row>
    <row r="23" ht="15" customHeight="1">
      <c r="A23" t="inlineStr">
        <is>
          <t>A 756-2024</t>
        </is>
      </c>
      <c r="B23" s="1" t="n">
        <v>45300</v>
      </c>
      <c r="C23" s="1" t="n">
        <v>46196</v>
      </c>
      <c r="D23" t="inlineStr">
        <is>
          <t>SKÅNE LÄN</t>
        </is>
      </c>
      <c r="E23" t="inlineStr">
        <is>
          <t>TOMELILLA</t>
        </is>
      </c>
      <c r="F23" t="inlineStr">
        <is>
          <t>Övriga Aktiebolag</t>
        </is>
      </c>
      <c r="G23" t="n">
        <v>13.1</v>
      </c>
      <c r="H23" t="n">
        <v>0</v>
      </c>
      <c r="I23" t="n">
        <v>0</v>
      </c>
      <c r="J23" t="n">
        <v>1</v>
      </c>
      <c r="K23" t="n">
        <v>0</v>
      </c>
      <c r="L23" t="n">
        <v>0</v>
      </c>
      <c r="M23" t="n">
        <v>0</v>
      </c>
      <c r="N23" t="n">
        <v>0</v>
      </c>
      <c r="O23" t="n">
        <v>1</v>
      </c>
      <c r="P23" t="n">
        <v>0</v>
      </c>
      <c r="Q23" t="n">
        <v>1</v>
      </c>
      <c r="R23" s="2" t="inlineStr">
        <is>
          <t>Borsttåg</t>
        </is>
      </c>
      <c r="S23">
        <f>HYPERLINK("https://klasma.github.io/Logging_1270/artfynd/A 756-2024 artfynd.xlsx", "A 756-2024")</f>
        <v/>
      </c>
      <c r="T23">
        <f>HYPERLINK("https://klasma.github.io/Logging_1270/kartor/A 756-2024 karta.png", "A 756-2024")</f>
        <v/>
      </c>
      <c r="V23">
        <f>HYPERLINK("https://klasma.github.io/Logging_1270/klagomål/A 756-2024 FSC-klagomål.docx", "A 756-2024")</f>
        <v/>
      </c>
      <c r="W23">
        <f>HYPERLINK("https://klasma.github.io/Logging_1270/klagomålsmail/A 756-2024 FSC-klagomål mail.docx", "A 756-2024")</f>
        <v/>
      </c>
      <c r="X23">
        <f>HYPERLINK("https://klasma.github.io/Logging_1270/tillsyn/A 756-2024 tillsynsbegäran.docx", "A 756-2024")</f>
        <v/>
      </c>
      <c r="Y23">
        <f>HYPERLINK("https://klasma.github.io/Logging_1270/tillsynsmail/A 756-2024 tillsynsbegäran mail.docx", "A 756-2024")</f>
        <v/>
      </c>
    </row>
    <row r="24" ht="15" customHeight="1">
      <c r="A24" t="inlineStr">
        <is>
          <t>A 42387-2022</t>
        </is>
      </c>
      <c r="B24" s="1" t="n">
        <v>44830</v>
      </c>
      <c r="C24" s="1" t="n">
        <v>46196</v>
      </c>
      <c r="D24" t="inlineStr">
        <is>
          <t>SKÅNE LÄN</t>
        </is>
      </c>
      <c r="E24" t="inlineStr">
        <is>
          <t>TOMELILLA</t>
        </is>
      </c>
      <c r="G24" t="n">
        <v>1.1</v>
      </c>
      <c r="H24" t="n">
        <v>0</v>
      </c>
      <c r="I24" t="n">
        <v>0</v>
      </c>
      <c r="J24" t="n">
        <v>1</v>
      </c>
      <c r="K24" t="n">
        <v>0</v>
      </c>
      <c r="L24" t="n">
        <v>0</v>
      </c>
      <c r="M24" t="n">
        <v>0</v>
      </c>
      <c r="N24" t="n">
        <v>0</v>
      </c>
      <c r="O24" t="n">
        <v>1</v>
      </c>
      <c r="P24" t="n">
        <v>0</v>
      </c>
      <c r="Q24" t="n">
        <v>1</v>
      </c>
      <c r="R24" s="2" t="inlineStr">
        <is>
          <t>Gullpudra</t>
        </is>
      </c>
      <c r="S24">
        <f>HYPERLINK("https://klasma.github.io/Logging_1270/artfynd/A 42387-2022 artfynd.xlsx", "A 42387-2022")</f>
        <v/>
      </c>
      <c r="T24">
        <f>HYPERLINK("https://klasma.github.io/Logging_1270/kartor/A 42387-2022 karta.png", "A 42387-2022")</f>
        <v/>
      </c>
      <c r="V24">
        <f>HYPERLINK("https://klasma.github.io/Logging_1270/klagomål/A 42387-2022 FSC-klagomål.docx", "A 42387-2022")</f>
        <v/>
      </c>
      <c r="W24">
        <f>HYPERLINK("https://klasma.github.io/Logging_1270/klagomålsmail/A 42387-2022 FSC-klagomål mail.docx", "A 42387-2022")</f>
        <v/>
      </c>
      <c r="X24">
        <f>HYPERLINK("https://klasma.github.io/Logging_1270/tillsyn/A 42387-2022 tillsynsbegäran.docx", "A 42387-2022")</f>
        <v/>
      </c>
      <c r="Y24">
        <f>HYPERLINK("https://klasma.github.io/Logging_1270/tillsynsmail/A 42387-2022 tillsynsbegäran mail.docx", "A 42387-2022")</f>
        <v/>
      </c>
    </row>
    <row r="25" ht="15" customHeight="1">
      <c r="A25" t="inlineStr">
        <is>
          <t>A 18158-2022</t>
        </is>
      </c>
      <c r="B25" s="1" t="n">
        <v>44684</v>
      </c>
      <c r="C25" s="1" t="n">
        <v>46196</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46196</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46196</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46196</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46196</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46196</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46196</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46196</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46196</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36180-2024</t>
        </is>
      </c>
      <c r="B34" s="1" t="n">
        <v>45534</v>
      </c>
      <c r="C34" s="1" t="n">
        <v>46196</v>
      </c>
      <c r="D34" t="inlineStr">
        <is>
          <t>SKÅNE LÄN</t>
        </is>
      </c>
      <c r="E34" t="inlineStr">
        <is>
          <t>TOMELILLA</t>
        </is>
      </c>
      <c r="G34" t="n">
        <v>1.6</v>
      </c>
      <c r="H34" t="n">
        <v>0</v>
      </c>
      <c r="I34" t="n">
        <v>0</v>
      </c>
      <c r="J34" t="n">
        <v>0</v>
      </c>
      <c r="K34" t="n">
        <v>0</v>
      </c>
      <c r="L34" t="n">
        <v>0</v>
      </c>
      <c r="M34" t="n">
        <v>0</v>
      </c>
      <c r="N34" t="n">
        <v>0</v>
      </c>
      <c r="O34" t="n">
        <v>0</v>
      </c>
      <c r="P34" t="n">
        <v>0</v>
      </c>
      <c r="Q34" t="n">
        <v>0</v>
      </c>
      <c r="R34" s="2" t="inlineStr"/>
    </row>
    <row r="35" ht="15" customHeight="1">
      <c r="A35" t="inlineStr">
        <is>
          <t>A 39791-2025</t>
        </is>
      </c>
      <c r="B35" s="1" t="n">
        <v>45891</v>
      </c>
      <c r="C35" s="1" t="n">
        <v>46196</v>
      </c>
      <c r="D35" t="inlineStr">
        <is>
          <t>SKÅNE LÄN</t>
        </is>
      </c>
      <c r="E35" t="inlineStr">
        <is>
          <t>TOMELILLA</t>
        </is>
      </c>
      <c r="G35" t="n">
        <v>3.8</v>
      </c>
      <c r="H35" t="n">
        <v>0</v>
      </c>
      <c r="I35" t="n">
        <v>0</v>
      </c>
      <c r="J35" t="n">
        <v>0</v>
      </c>
      <c r="K35" t="n">
        <v>0</v>
      </c>
      <c r="L35" t="n">
        <v>0</v>
      </c>
      <c r="M35" t="n">
        <v>0</v>
      </c>
      <c r="N35" t="n">
        <v>0</v>
      </c>
      <c r="O35" t="n">
        <v>0</v>
      </c>
      <c r="P35" t="n">
        <v>0</v>
      </c>
      <c r="Q35" t="n">
        <v>0</v>
      </c>
      <c r="R35" s="2" t="inlineStr"/>
    </row>
    <row r="36" ht="15" customHeight="1">
      <c r="A36" t="inlineStr">
        <is>
          <t>A 11806-2025</t>
        </is>
      </c>
      <c r="B36" s="1" t="n">
        <v>45727</v>
      </c>
      <c r="C36" s="1" t="n">
        <v>46196</v>
      </c>
      <c r="D36" t="inlineStr">
        <is>
          <t>SKÅNE LÄN</t>
        </is>
      </c>
      <c r="E36" t="inlineStr">
        <is>
          <t>TOMELILLA</t>
        </is>
      </c>
      <c r="G36" t="n">
        <v>3.1</v>
      </c>
      <c r="H36" t="n">
        <v>0</v>
      </c>
      <c r="I36" t="n">
        <v>0</v>
      </c>
      <c r="J36" t="n">
        <v>0</v>
      </c>
      <c r="K36" t="n">
        <v>0</v>
      </c>
      <c r="L36" t="n">
        <v>0</v>
      </c>
      <c r="M36" t="n">
        <v>0</v>
      </c>
      <c r="N36" t="n">
        <v>0</v>
      </c>
      <c r="O36" t="n">
        <v>0</v>
      </c>
      <c r="P36" t="n">
        <v>0</v>
      </c>
      <c r="Q36" t="n">
        <v>0</v>
      </c>
      <c r="R36" s="2" t="inlineStr"/>
    </row>
    <row r="37" ht="15" customHeight="1">
      <c r="A37" t="inlineStr">
        <is>
          <t>A 11810-2025</t>
        </is>
      </c>
      <c r="B37" s="1" t="n">
        <v>45727</v>
      </c>
      <c r="C37" s="1" t="n">
        <v>46196</v>
      </c>
      <c r="D37" t="inlineStr">
        <is>
          <t>SKÅNE LÄN</t>
        </is>
      </c>
      <c r="E37" t="inlineStr">
        <is>
          <t>TOMELILLA</t>
        </is>
      </c>
      <c r="G37" t="n">
        <v>2.9</v>
      </c>
      <c r="H37" t="n">
        <v>0</v>
      </c>
      <c r="I37" t="n">
        <v>0</v>
      </c>
      <c r="J37" t="n">
        <v>0</v>
      </c>
      <c r="K37" t="n">
        <v>0</v>
      </c>
      <c r="L37" t="n">
        <v>0</v>
      </c>
      <c r="M37" t="n">
        <v>0</v>
      </c>
      <c r="N37" t="n">
        <v>0</v>
      </c>
      <c r="O37" t="n">
        <v>0</v>
      </c>
      <c r="P37" t="n">
        <v>0</v>
      </c>
      <c r="Q37" t="n">
        <v>0</v>
      </c>
      <c r="R37" s="2" t="inlineStr"/>
    </row>
    <row r="38" ht="15" customHeight="1">
      <c r="A38" t="inlineStr">
        <is>
          <t>A 23185-2025</t>
        </is>
      </c>
      <c r="B38" s="1" t="n">
        <v>45791</v>
      </c>
      <c r="C38" s="1" t="n">
        <v>46196</v>
      </c>
      <c r="D38" t="inlineStr">
        <is>
          <t>SKÅNE LÄN</t>
        </is>
      </c>
      <c r="E38" t="inlineStr">
        <is>
          <t>TOMELILLA</t>
        </is>
      </c>
      <c r="G38" t="n">
        <v>0.8</v>
      </c>
      <c r="H38" t="n">
        <v>0</v>
      </c>
      <c r="I38" t="n">
        <v>0</v>
      </c>
      <c r="J38" t="n">
        <v>0</v>
      </c>
      <c r="K38" t="n">
        <v>0</v>
      </c>
      <c r="L38" t="n">
        <v>0</v>
      </c>
      <c r="M38" t="n">
        <v>0</v>
      </c>
      <c r="N38" t="n">
        <v>0</v>
      </c>
      <c r="O38" t="n">
        <v>0</v>
      </c>
      <c r="P38" t="n">
        <v>0</v>
      </c>
      <c r="Q38" t="n">
        <v>0</v>
      </c>
      <c r="R38" s="2" t="inlineStr"/>
    </row>
    <row r="39" ht="15" customHeight="1">
      <c r="A39" t="inlineStr">
        <is>
          <t>A 17760-2025</t>
        </is>
      </c>
      <c r="B39" s="1" t="n">
        <v>45758</v>
      </c>
      <c r="C39" s="1" t="n">
        <v>46196</v>
      </c>
      <c r="D39" t="inlineStr">
        <is>
          <t>SKÅNE LÄN</t>
        </is>
      </c>
      <c r="E39" t="inlineStr">
        <is>
          <t>TOMELILLA</t>
        </is>
      </c>
      <c r="G39" t="n">
        <v>3.7</v>
      </c>
      <c r="H39" t="n">
        <v>0</v>
      </c>
      <c r="I39" t="n">
        <v>0</v>
      </c>
      <c r="J39" t="n">
        <v>0</v>
      </c>
      <c r="K39" t="n">
        <v>0</v>
      </c>
      <c r="L39" t="n">
        <v>0</v>
      </c>
      <c r="M39" t="n">
        <v>0</v>
      </c>
      <c r="N39" t="n">
        <v>0</v>
      </c>
      <c r="O39" t="n">
        <v>0</v>
      </c>
      <c r="P39" t="n">
        <v>0</v>
      </c>
      <c r="Q39" t="n">
        <v>0</v>
      </c>
      <c r="R39" s="2" t="inlineStr"/>
    </row>
    <row r="40" ht="15" customHeight="1">
      <c r="A40" t="inlineStr">
        <is>
          <t>A 54674-2025</t>
        </is>
      </c>
      <c r="B40" s="1" t="n">
        <v>45966</v>
      </c>
      <c r="C40" s="1" t="n">
        <v>46196</v>
      </c>
      <c r="D40" t="inlineStr">
        <is>
          <t>SKÅNE LÄN</t>
        </is>
      </c>
      <c r="E40" t="inlineStr">
        <is>
          <t>TOMELILLA</t>
        </is>
      </c>
      <c r="G40" t="n">
        <v>5.6</v>
      </c>
      <c r="H40" t="n">
        <v>0</v>
      </c>
      <c r="I40" t="n">
        <v>0</v>
      </c>
      <c r="J40" t="n">
        <v>0</v>
      </c>
      <c r="K40" t="n">
        <v>0</v>
      </c>
      <c r="L40" t="n">
        <v>0</v>
      </c>
      <c r="M40" t="n">
        <v>0</v>
      </c>
      <c r="N40" t="n">
        <v>0</v>
      </c>
      <c r="O40" t="n">
        <v>0</v>
      </c>
      <c r="P40" t="n">
        <v>0</v>
      </c>
      <c r="Q40" t="n">
        <v>0</v>
      </c>
      <c r="R40" s="2" t="inlineStr"/>
    </row>
    <row r="41" ht="15" customHeight="1">
      <c r="A41" t="inlineStr">
        <is>
          <t>A 45729-2024</t>
        </is>
      </c>
      <c r="B41" s="1" t="n">
        <v>45579</v>
      </c>
      <c r="C41" s="1" t="n">
        <v>46196</v>
      </c>
      <c r="D41" t="inlineStr">
        <is>
          <t>SKÅNE LÄN</t>
        </is>
      </c>
      <c r="E41" t="inlineStr">
        <is>
          <t>TOMELILLA</t>
        </is>
      </c>
      <c r="G41" t="n">
        <v>10.1</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46196</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15158-2025</t>
        </is>
      </c>
      <c r="B43" s="1" t="n">
        <v>45744</v>
      </c>
      <c r="C43" s="1" t="n">
        <v>46196</v>
      </c>
      <c r="D43" t="inlineStr">
        <is>
          <t>SKÅNE LÄN</t>
        </is>
      </c>
      <c r="E43" t="inlineStr">
        <is>
          <t>TOMELILLA</t>
        </is>
      </c>
      <c r="G43" t="n">
        <v>1.8</v>
      </c>
      <c r="H43" t="n">
        <v>0</v>
      </c>
      <c r="I43" t="n">
        <v>0</v>
      </c>
      <c r="J43" t="n">
        <v>0</v>
      </c>
      <c r="K43" t="n">
        <v>0</v>
      </c>
      <c r="L43" t="n">
        <v>0</v>
      </c>
      <c r="M43" t="n">
        <v>0</v>
      </c>
      <c r="N43" t="n">
        <v>0</v>
      </c>
      <c r="O43" t="n">
        <v>0</v>
      </c>
      <c r="P43" t="n">
        <v>0</v>
      </c>
      <c r="Q43" t="n">
        <v>0</v>
      </c>
      <c r="R43" s="2" t="inlineStr"/>
    </row>
    <row r="44" ht="15" customHeight="1">
      <c r="A44" t="inlineStr">
        <is>
          <t>A 56735-2025</t>
        </is>
      </c>
      <c r="B44" s="1" t="n">
        <v>45978</v>
      </c>
      <c r="C44" s="1" t="n">
        <v>46196</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43306-2025</t>
        </is>
      </c>
      <c r="B45" s="1" t="n">
        <v>45910</v>
      </c>
      <c r="C45" s="1" t="n">
        <v>46196</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49913-2025</t>
        </is>
      </c>
      <c r="B46" s="1" t="n">
        <v>45940</v>
      </c>
      <c r="C46" s="1" t="n">
        <v>46196</v>
      </c>
      <c r="D46" t="inlineStr">
        <is>
          <t>SKÅNE LÄN</t>
        </is>
      </c>
      <c r="E46" t="inlineStr">
        <is>
          <t>TOMELILLA</t>
        </is>
      </c>
      <c r="G46" t="n">
        <v>0.9</v>
      </c>
      <c r="H46" t="n">
        <v>0</v>
      </c>
      <c r="I46" t="n">
        <v>0</v>
      </c>
      <c r="J46" t="n">
        <v>0</v>
      </c>
      <c r="K46" t="n">
        <v>0</v>
      </c>
      <c r="L46" t="n">
        <v>0</v>
      </c>
      <c r="M46" t="n">
        <v>0</v>
      </c>
      <c r="N46" t="n">
        <v>0</v>
      </c>
      <c r="O46" t="n">
        <v>0</v>
      </c>
      <c r="P46" t="n">
        <v>0</v>
      </c>
      <c r="Q46" t="n">
        <v>0</v>
      </c>
      <c r="R46" s="2" t="inlineStr"/>
    </row>
    <row r="47" ht="15" customHeight="1">
      <c r="A47" t="inlineStr">
        <is>
          <t>A 27424-2024</t>
        </is>
      </c>
      <c r="B47" s="1" t="n">
        <v>45474</v>
      </c>
      <c r="C47" s="1" t="n">
        <v>46196</v>
      </c>
      <c r="D47" t="inlineStr">
        <is>
          <t>SKÅNE LÄN</t>
        </is>
      </c>
      <c r="E47" t="inlineStr">
        <is>
          <t>TOMELILLA</t>
        </is>
      </c>
      <c r="G47" t="n">
        <v>1.3</v>
      </c>
      <c r="H47" t="n">
        <v>0</v>
      </c>
      <c r="I47" t="n">
        <v>0</v>
      </c>
      <c r="J47" t="n">
        <v>0</v>
      </c>
      <c r="K47" t="n">
        <v>0</v>
      </c>
      <c r="L47" t="n">
        <v>0</v>
      </c>
      <c r="M47" t="n">
        <v>0</v>
      </c>
      <c r="N47" t="n">
        <v>0</v>
      </c>
      <c r="O47" t="n">
        <v>0</v>
      </c>
      <c r="P47" t="n">
        <v>0</v>
      </c>
      <c r="Q47" t="n">
        <v>0</v>
      </c>
      <c r="R47" s="2" t="inlineStr"/>
    </row>
    <row r="48" ht="15" customHeight="1">
      <c r="A48" t="inlineStr">
        <is>
          <t>A 2548-2024</t>
        </is>
      </c>
      <c r="B48" s="1" t="n">
        <v>45313</v>
      </c>
      <c r="C48" s="1" t="n">
        <v>46196</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46196</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2555-2022</t>
        </is>
      </c>
      <c r="B50" s="1" t="n">
        <v>44579</v>
      </c>
      <c r="C50" s="1" t="n">
        <v>46196</v>
      </c>
      <c r="D50" t="inlineStr">
        <is>
          <t>SKÅNE LÄN</t>
        </is>
      </c>
      <c r="E50" t="inlineStr">
        <is>
          <t>TOMELILLA</t>
        </is>
      </c>
      <c r="G50" t="n">
        <v>1</v>
      </c>
      <c r="H50" t="n">
        <v>0</v>
      </c>
      <c r="I50" t="n">
        <v>0</v>
      </c>
      <c r="J50" t="n">
        <v>0</v>
      </c>
      <c r="K50" t="n">
        <v>0</v>
      </c>
      <c r="L50" t="n">
        <v>0</v>
      </c>
      <c r="M50" t="n">
        <v>0</v>
      </c>
      <c r="N50" t="n">
        <v>0</v>
      </c>
      <c r="O50" t="n">
        <v>0</v>
      </c>
      <c r="P50" t="n">
        <v>0</v>
      </c>
      <c r="Q50" t="n">
        <v>0</v>
      </c>
      <c r="R50" s="2" t="inlineStr"/>
    </row>
    <row r="51" ht="15" customHeight="1">
      <c r="A51" t="inlineStr">
        <is>
          <t>A 743-2024</t>
        </is>
      </c>
      <c r="B51" s="1" t="n">
        <v>45300</v>
      </c>
      <c r="C51" s="1" t="n">
        <v>46196</v>
      </c>
      <c r="D51" t="inlineStr">
        <is>
          <t>SKÅNE LÄN</t>
        </is>
      </c>
      <c r="E51" t="inlineStr">
        <is>
          <t>TOMELILLA</t>
        </is>
      </c>
      <c r="F51" t="inlineStr">
        <is>
          <t>Övriga Aktiebolag</t>
        </is>
      </c>
      <c r="G51" t="n">
        <v>11.1</v>
      </c>
      <c r="H51" t="n">
        <v>0</v>
      </c>
      <c r="I51" t="n">
        <v>0</v>
      </c>
      <c r="J51" t="n">
        <v>0</v>
      </c>
      <c r="K51" t="n">
        <v>0</v>
      </c>
      <c r="L51" t="n">
        <v>0</v>
      </c>
      <c r="M51" t="n">
        <v>0</v>
      </c>
      <c r="N51" t="n">
        <v>0</v>
      </c>
      <c r="O51" t="n">
        <v>0</v>
      </c>
      <c r="P51" t="n">
        <v>0</v>
      </c>
      <c r="Q51" t="n">
        <v>0</v>
      </c>
      <c r="R51" s="2" t="inlineStr"/>
    </row>
    <row r="52" ht="15" customHeight="1">
      <c r="A52" t="inlineStr">
        <is>
          <t>A 48171-2025</t>
        </is>
      </c>
      <c r="B52" s="1" t="n">
        <v>45933</v>
      </c>
      <c r="C52" s="1" t="n">
        <v>46196</v>
      </c>
      <c r="D52" t="inlineStr">
        <is>
          <t>SKÅNE LÄN</t>
        </is>
      </c>
      <c r="E52" t="inlineStr">
        <is>
          <t>TOMELILLA</t>
        </is>
      </c>
      <c r="G52" t="n">
        <v>1.9</v>
      </c>
      <c r="H52" t="n">
        <v>0</v>
      </c>
      <c r="I52" t="n">
        <v>0</v>
      </c>
      <c r="J52" t="n">
        <v>0</v>
      </c>
      <c r="K52" t="n">
        <v>0</v>
      </c>
      <c r="L52" t="n">
        <v>0</v>
      </c>
      <c r="M52" t="n">
        <v>0</v>
      </c>
      <c r="N52" t="n">
        <v>0</v>
      </c>
      <c r="O52" t="n">
        <v>0</v>
      </c>
      <c r="P52" t="n">
        <v>0</v>
      </c>
      <c r="Q52" t="n">
        <v>0</v>
      </c>
      <c r="R52" s="2" t="inlineStr"/>
    </row>
    <row r="53" ht="15" customHeight="1">
      <c r="A53" t="inlineStr">
        <is>
          <t>A 11811-2025</t>
        </is>
      </c>
      <c r="B53" s="1" t="n">
        <v>45727</v>
      </c>
      <c r="C53" s="1" t="n">
        <v>46196</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46196</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11887-2024</t>
        </is>
      </c>
      <c r="B55" s="1" t="n">
        <v>45376</v>
      </c>
      <c r="C55" s="1" t="n">
        <v>46196</v>
      </c>
      <c r="D55" t="inlineStr">
        <is>
          <t>SKÅNE LÄN</t>
        </is>
      </c>
      <c r="E55" t="inlineStr">
        <is>
          <t>TOMELILLA</t>
        </is>
      </c>
      <c r="F55" t="inlineStr">
        <is>
          <t>Övriga Aktiebolag</t>
        </is>
      </c>
      <c r="G55" t="n">
        <v>6.3</v>
      </c>
      <c r="H55" t="n">
        <v>0</v>
      </c>
      <c r="I55" t="n">
        <v>0</v>
      </c>
      <c r="J55" t="n">
        <v>0</v>
      </c>
      <c r="K55" t="n">
        <v>0</v>
      </c>
      <c r="L55" t="n">
        <v>0</v>
      </c>
      <c r="M55" t="n">
        <v>0</v>
      </c>
      <c r="N55" t="n">
        <v>0</v>
      </c>
      <c r="O55" t="n">
        <v>0</v>
      </c>
      <c r="P55" t="n">
        <v>0</v>
      </c>
      <c r="Q55" t="n">
        <v>0</v>
      </c>
      <c r="R55" s="2" t="inlineStr"/>
    </row>
    <row r="56" ht="15" customHeight="1">
      <c r="A56" t="inlineStr">
        <is>
          <t>A 10272-2023</t>
        </is>
      </c>
      <c r="B56" s="1" t="n">
        <v>44986</v>
      </c>
      <c r="C56" s="1" t="n">
        <v>46196</v>
      </c>
      <c r="D56" t="inlineStr">
        <is>
          <t>SKÅNE LÄN</t>
        </is>
      </c>
      <c r="E56" t="inlineStr">
        <is>
          <t>TOMELILLA</t>
        </is>
      </c>
      <c r="F56" t="inlineStr">
        <is>
          <t>Övriga Aktiebolag</t>
        </is>
      </c>
      <c r="G56" t="n">
        <v>7.7</v>
      </c>
      <c r="H56" t="n">
        <v>0</v>
      </c>
      <c r="I56" t="n">
        <v>0</v>
      </c>
      <c r="J56" t="n">
        <v>0</v>
      </c>
      <c r="K56" t="n">
        <v>0</v>
      </c>
      <c r="L56" t="n">
        <v>0</v>
      </c>
      <c r="M56" t="n">
        <v>0</v>
      </c>
      <c r="N56" t="n">
        <v>0</v>
      </c>
      <c r="O56" t="n">
        <v>0</v>
      </c>
      <c r="P56" t="n">
        <v>0</v>
      </c>
      <c r="Q56" t="n">
        <v>0</v>
      </c>
      <c r="R56" s="2" t="inlineStr"/>
    </row>
    <row r="57" ht="15" customHeight="1">
      <c r="A57" t="inlineStr">
        <is>
          <t>A 49815-2025</t>
        </is>
      </c>
      <c r="B57" s="1" t="n">
        <v>45940</v>
      </c>
      <c r="C57" s="1" t="n">
        <v>46196</v>
      </c>
      <c r="D57" t="inlineStr">
        <is>
          <t>SKÅNE LÄN</t>
        </is>
      </c>
      <c r="E57" t="inlineStr">
        <is>
          <t>TOMELILLA</t>
        </is>
      </c>
      <c r="G57" t="n">
        <v>0.6</v>
      </c>
      <c r="H57" t="n">
        <v>0</v>
      </c>
      <c r="I57" t="n">
        <v>0</v>
      </c>
      <c r="J57" t="n">
        <v>0</v>
      </c>
      <c r="K57" t="n">
        <v>0</v>
      </c>
      <c r="L57" t="n">
        <v>0</v>
      </c>
      <c r="M57" t="n">
        <v>0</v>
      </c>
      <c r="N57" t="n">
        <v>0</v>
      </c>
      <c r="O57" t="n">
        <v>0</v>
      </c>
      <c r="P57" t="n">
        <v>0</v>
      </c>
      <c r="Q57" t="n">
        <v>0</v>
      </c>
      <c r="R57" s="2" t="inlineStr"/>
    </row>
    <row r="58" ht="15" customHeight="1">
      <c r="A58" t="inlineStr">
        <is>
          <t>A 35792-2025</t>
        </is>
      </c>
      <c r="B58" s="1" t="n">
        <v>45861</v>
      </c>
      <c r="C58" s="1" t="n">
        <v>46196</v>
      </c>
      <c r="D58" t="inlineStr">
        <is>
          <t>SKÅNE LÄN</t>
        </is>
      </c>
      <c r="E58" t="inlineStr">
        <is>
          <t>TOMELILLA</t>
        </is>
      </c>
      <c r="F58" t="inlineStr">
        <is>
          <t>Övriga Aktiebolag</t>
        </is>
      </c>
      <c r="G58" t="n">
        <v>1.3</v>
      </c>
      <c r="H58" t="n">
        <v>0</v>
      </c>
      <c r="I58" t="n">
        <v>0</v>
      </c>
      <c r="J58" t="n">
        <v>0</v>
      </c>
      <c r="K58" t="n">
        <v>0</v>
      </c>
      <c r="L58" t="n">
        <v>0</v>
      </c>
      <c r="M58" t="n">
        <v>0</v>
      </c>
      <c r="N58" t="n">
        <v>0</v>
      </c>
      <c r="O58" t="n">
        <v>0</v>
      </c>
      <c r="P58" t="n">
        <v>0</v>
      </c>
      <c r="Q58" t="n">
        <v>0</v>
      </c>
      <c r="R58" s="2" t="inlineStr"/>
    </row>
    <row r="59" ht="15" customHeight="1">
      <c r="A59" t="inlineStr">
        <is>
          <t>A 15012-2024</t>
        </is>
      </c>
      <c r="B59" s="1" t="n">
        <v>45399</v>
      </c>
      <c r="C59" s="1" t="n">
        <v>46196</v>
      </c>
      <c r="D59" t="inlineStr">
        <is>
          <t>SKÅNE LÄN</t>
        </is>
      </c>
      <c r="E59" t="inlineStr">
        <is>
          <t>TOMELILLA</t>
        </is>
      </c>
      <c r="G59" t="n">
        <v>6.9</v>
      </c>
      <c r="H59" t="n">
        <v>0</v>
      </c>
      <c r="I59" t="n">
        <v>0</v>
      </c>
      <c r="J59" t="n">
        <v>0</v>
      </c>
      <c r="K59" t="n">
        <v>0</v>
      </c>
      <c r="L59" t="n">
        <v>0</v>
      </c>
      <c r="M59" t="n">
        <v>0</v>
      </c>
      <c r="N59" t="n">
        <v>0</v>
      </c>
      <c r="O59" t="n">
        <v>0</v>
      </c>
      <c r="P59" t="n">
        <v>0</v>
      </c>
      <c r="Q59" t="n">
        <v>0</v>
      </c>
      <c r="R59" s="2" t="inlineStr"/>
    </row>
    <row r="60" ht="15" customHeight="1">
      <c r="A60" t="inlineStr">
        <is>
          <t>A 35971-2025</t>
        </is>
      </c>
      <c r="B60" s="1" t="n">
        <v>45863</v>
      </c>
      <c r="C60" s="1" t="n">
        <v>46196</v>
      </c>
      <c r="D60" t="inlineStr">
        <is>
          <t>SKÅNE LÄN</t>
        </is>
      </c>
      <c r="E60" t="inlineStr">
        <is>
          <t>TOMELILLA</t>
        </is>
      </c>
      <c r="G60" t="n">
        <v>1.2</v>
      </c>
      <c r="H60" t="n">
        <v>0</v>
      </c>
      <c r="I60" t="n">
        <v>0</v>
      </c>
      <c r="J60" t="n">
        <v>0</v>
      </c>
      <c r="K60" t="n">
        <v>0</v>
      </c>
      <c r="L60" t="n">
        <v>0</v>
      </c>
      <c r="M60" t="n">
        <v>0</v>
      </c>
      <c r="N60" t="n">
        <v>0</v>
      </c>
      <c r="O60" t="n">
        <v>0</v>
      </c>
      <c r="P60" t="n">
        <v>0</v>
      </c>
      <c r="Q60" t="n">
        <v>0</v>
      </c>
      <c r="R60" s="2" t="inlineStr"/>
    </row>
    <row r="61" ht="15" customHeight="1">
      <c r="A61" t="inlineStr">
        <is>
          <t>A 4969-2026</t>
        </is>
      </c>
      <c r="B61" s="1" t="n">
        <v>46049</v>
      </c>
      <c r="C61" s="1" t="n">
        <v>46196</v>
      </c>
      <c r="D61" t="inlineStr">
        <is>
          <t>SKÅNE LÄN</t>
        </is>
      </c>
      <c r="E61" t="inlineStr">
        <is>
          <t>TOMELILLA</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39796-2025</t>
        </is>
      </c>
      <c r="B62" s="1" t="n">
        <v>45891</v>
      </c>
      <c r="C62" s="1" t="n">
        <v>46196</v>
      </c>
      <c r="D62" t="inlineStr">
        <is>
          <t>SKÅNE LÄN</t>
        </is>
      </c>
      <c r="E62" t="inlineStr">
        <is>
          <t>TOMELILLA</t>
        </is>
      </c>
      <c r="G62" t="n">
        <v>3.9</v>
      </c>
      <c r="H62" t="n">
        <v>0</v>
      </c>
      <c r="I62" t="n">
        <v>0</v>
      </c>
      <c r="J62" t="n">
        <v>0</v>
      </c>
      <c r="K62" t="n">
        <v>0</v>
      </c>
      <c r="L62" t="n">
        <v>0</v>
      </c>
      <c r="M62" t="n">
        <v>0</v>
      </c>
      <c r="N62" t="n">
        <v>0</v>
      </c>
      <c r="O62" t="n">
        <v>0</v>
      </c>
      <c r="P62" t="n">
        <v>0</v>
      </c>
      <c r="Q62" t="n">
        <v>0</v>
      </c>
      <c r="R62" s="2" t="inlineStr"/>
    </row>
    <row r="63" ht="15" customHeight="1">
      <c r="A63" t="inlineStr">
        <is>
          <t>A 8190-2024</t>
        </is>
      </c>
      <c r="B63" s="1" t="n">
        <v>45338</v>
      </c>
      <c r="C63" s="1" t="n">
        <v>46196</v>
      </c>
      <c r="D63" t="inlineStr">
        <is>
          <t>SKÅNE LÄN</t>
        </is>
      </c>
      <c r="E63" t="inlineStr">
        <is>
          <t>TOMELILLA</t>
        </is>
      </c>
      <c r="F63" t="inlineStr">
        <is>
          <t>Kyrkan</t>
        </is>
      </c>
      <c r="G63" t="n">
        <v>3.6</v>
      </c>
      <c r="H63" t="n">
        <v>0</v>
      </c>
      <c r="I63" t="n">
        <v>0</v>
      </c>
      <c r="J63" t="n">
        <v>0</v>
      </c>
      <c r="K63" t="n">
        <v>0</v>
      </c>
      <c r="L63" t="n">
        <v>0</v>
      </c>
      <c r="M63" t="n">
        <v>0</v>
      </c>
      <c r="N63" t="n">
        <v>0</v>
      </c>
      <c r="O63" t="n">
        <v>0</v>
      </c>
      <c r="P63" t="n">
        <v>0</v>
      </c>
      <c r="Q63" t="n">
        <v>0</v>
      </c>
      <c r="R63" s="2" t="inlineStr"/>
    </row>
    <row r="64" ht="15" customHeight="1">
      <c r="A64" t="inlineStr">
        <is>
          <t>A 8192-2024</t>
        </is>
      </c>
      <c r="B64" s="1" t="n">
        <v>45338</v>
      </c>
      <c r="C64" s="1" t="n">
        <v>46196</v>
      </c>
      <c r="D64" t="inlineStr">
        <is>
          <t>SKÅNE LÄN</t>
        </is>
      </c>
      <c r="E64" t="inlineStr">
        <is>
          <t>TOMELILLA</t>
        </is>
      </c>
      <c r="F64" t="inlineStr">
        <is>
          <t>Kyrkan</t>
        </is>
      </c>
      <c r="G64" t="n">
        <v>1.5</v>
      </c>
      <c r="H64" t="n">
        <v>0</v>
      </c>
      <c r="I64" t="n">
        <v>0</v>
      </c>
      <c r="J64" t="n">
        <v>0</v>
      </c>
      <c r="K64" t="n">
        <v>0</v>
      </c>
      <c r="L64" t="n">
        <v>0</v>
      </c>
      <c r="M64" t="n">
        <v>0</v>
      </c>
      <c r="N64" t="n">
        <v>0</v>
      </c>
      <c r="O64" t="n">
        <v>0</v>
      </c>
      <c r="P64" t="n">
        <v>0</v>
      </c>
      <c r="Q64" t="n">
        <v>0</v>
      </c>
      <c r="R64" s="2" t="inlineStr"/>
    </row>
    <row r="65" ht="15" customHeight="1">
      <c r="A65" t="inlineStr">
        <is>
          <t>A 47231-2023</t>
        </is>
      </c>
      <c r="B65" s="1" t="n">
        <v>45202</v>
      </c>
      <c r="C65" s="1" t="n">
        <v>46196</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28966-2022</t>
        </is>
      </c>
      <c r="B66" s="1" t="n">
        <v>44749</v>
      </c>
      <c r="C66" s="1" t="n">
        <v>46196</v>
      </c>
      <c r="D66" t="inlineStr">
        <is>
          <t>SKÅNE LÄN</t>
        </is>
      </c>
      <c r="E66" t="inlineStr">
        <is>
          <t>TOMELILLA</t>
        </is>
      </c>
      <c r="G66" t="n">
        <v>3.2</v>
      </c>
      <c r="H66" t="n">
        <v>0</v>
      </c>
      <c r="I66" t="n">
        <v>0</v>
      </c>
      <c r="J66" t="n">
        <v>0</v>
      </c>
      <c r="K66" t="n">
        <v>0</v>
      </c>
      <c r="L66" t="n">
        <v>0</v>
      </c>
      <c r="M66" t="n">
        <v>0</v>
      </c>
      <c r="N66" t="n">
        <v>0</v>
      </c>
      <c r="O66" t="n">
        <v>0</v>
      </c>
      <c r="P66" t="n">
        <v>0</v>
      </c>
      <c r="Q66" t="n">
        <v>0</v>
      </c>
      <c r="R66" s="2" t="inlineStr"/>
    </row>
    <row r="67" ht="15" customHeight="1">
      <c r="A67" t="inlineStr">
        <is>
          <t>A 578-2024</t>
        </is>
      </c>
      <c r="B67" s="1" t="n">
        <v>45299</v>
      </c>
      <c r="C67" s="1" t="n">
        <v>46196</v>
      </c>
      <c r="D67" t="inlineStr">
        <is>
          <t>SKÅNE LÄN</t>
        </is>
      </c>
      <c r="E67" t="inlineStr">
        <is>
          <t>TOMELILLA</t>
        </is>
      </c>
      <c r="F67" t="inlineStr">
        <is>
          <t>Övriga Aktiebolag</t>
        </is>
      </c>
      <c r="G67" t="n">
        <v>67.40000000000001</v>
      </c>
      <c r="H67" t="n">
        <v>0</v>
      </c>
      <c r="I67" t="n">
        <v>0</v>
      </c>
      <c r="J67" t="n">
        <v>0</v>
      </c>
      <c r="K67" t="n">
        <v>0</v>
      </c>
      <c r="L67" t="n">
        <v>0</v>
      </c>
      <c r="M67" t="n">
        <v>0</v>
      </c>
      <c r="N67" t="n">
        <v>0</v>
      </c>
      <c r="O67" t="n">
        <v>0</v>
      </c>
      <c r="P67" t="n">
        <v>0</v>
      </c>
      <c r="Q67" t="n">
        <v>0</v>
      </c>
      <c r="R67" s="2" t="inlineStr"/>
    </row>
    <row r="68" ht="15" customHeight="1">
      <c r="A68" t="inlineStr">
        <is>
          <t>A 6357-2024</t>
        </is>
      </c>
      <c r="B68" s="1" t="n">
        <v>45338</v>
      </c>
      <c r="C68" s="1" t="n">
        <v>46196</v>
      </c>
      <c r="D68" t="inlineStr">
        <is>
          <t>SKÅNE LÄN</t>
        </is>
      </c>
      <c r="E68" t="inlineStr">
        <is>
          <t>TOMELILLA</t>
        </is>
      </c>
      <c r="F68" t="inlineStr">
        <is>
          <t>Kyrkan</t>
        </is>
      </c>
      <c r="G68" t="n">
        <v>0.6</v>
      </c>
      <c r="H68" t="n">
        <v>0</v>
      </c>
      <c r="I68" t="n">
        <v>0</v>
      </c>
      <c r="J68" t="n">
        <v>0</v>
      </c>
      <c r="K68" t="n">
        <v>0</v>
      </c>
      <c r="L68" t="n">
        <v>0</v>
      </c>
      <c r="M68" t="n">
        <v>0</v>
      </c>
      <c r="N68" t="n">
        <v>0</v>
      </c>
      <c r="O68" t="n">
        <v>0</v>
      </c>
      <c r="P68" t="n">
        <v>0</v>
      </c>
      <c r="Q68" t="n">
        <v>0</v>
      </c>
      <c r="R68" s="2" t="inlineStr"/>
    </row>
    <row r="69" ht="15" customHeight="1">
      <c r="A69" t="inlineStr">
        <is>
          <t>A 61970-2025</t>
        </is>
      </c>
      <c r="B69" s="1" t="n">
        <v>46003</v>
      </c>
      <c r="C69" s="1" t="n">
        <v>46196</v>
      </c>
      <c r="D69" t="inlineStr">
        <is>
          <t>SKÅNE LÄN</t>
        </is>
      </c>
      <c r="E69" t="inlineStr">
        <is>
          <t>TOMELILLA</t>
        </is>
      </c>
      <c r="G69" t="n">
        <v>2</v>
      </c>
      <c r="H69" t="n">
        <v>0</v>
      </c>
      <c r="I69" t="n">
        <v>0</v>
      </c>
      <c r="J69" t="n">
        <v>0</v>
      </c>
      <c r="K69" t="n">
        <v>0</v>
      </c>
      <c r="L69" t="n">
        <v>0</v>
      </c>
      <c r="M69" t="n">
        <v>0</v>
      </c>
      <c r="N69" t="n">
        <v>0</v>
      </c>
      <c r="O69" t="n">
        <v>0</v>
      </c>
      <c r="P69" t="n">
        <v>0</v>
      </c>
      <c r="Q69" t="n">
        <v>0</v>
      </c>
      <c r="R69" s="2" t="inlineStr"/>
    </row>
    <row r="70" ht="15" customHeight="1">
      <c r="A70" t="inlineStr">
        <is>
          <t>A 23813-2024</t>
        </is>
      </c>
      <c r="B70" s="1" t="n">
        <v>45455</v>
      </c>
      <c r="C70" s="1" t="n">
        <v>46196</v>
      </c>
      <c r="D70" t="inlineStr">
        <is>
          <t>SKÅNE LÄN</t>
        </is>
      </c>
      <c r="E70" t="inlineStr">
        <is>
          <t>TOMELILLA</t>
        </is>
      </c>
      <c r="G70" t="n">
        <v>2</v>
      </c>
      <c r="H70" t="n">
        <v>0</v>
      </c>
      <c r="I70" t="n">
        <v>0</v>
      </c>
      <c r="J70" t="n">
        <v>0</v>
      </c>
      <c r="K70" t="n">
        <v>0</v>
      </c>
      <c r="L70" t="n">
        <v>0</v>
      </c>
      <c r="M70" t="n">
        <v>0</v>
      </c>
      <c r="N70" t="n">
        <v>0</v>
      </c>
      <c r="O70" t="n">
        <v>0</v>
      </c>
      <c r="P70" t="n">
        <v>0</v>
      </c>
      <c r="Q70" t="n">
        <v>0</v>
      </c>
      <c r="R70" s="2" t="inlineStr"/>
    </row>
    <row r="71" ht="15" customHeight="1">
      <c r="A71" t="inlineStr">
        <is>
          <t>A 10908-2026</t>
        </is>
      </c>
      <c r="B71" s="1" t="n">
        <v>46079</v>
      </c>
      <c r="C71" s="1" t="n">
        <v>46196</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6124-2026</t>
        </is>
      </c>
      <c r="B72" s="1" t="n">
        <v>46053</v>
      </c>
      <c r="C72" s="1" t="n">
        <v>46196</v>
      </c>
      <c r="D72" t="inlineStr">
        <is>
          <t>SKÅNE LÄN</t>
        </is>
      </c>
      <c r="E72" t="inlineStr">
        <is>
          <t>TOMELILLA</t>
        </is>
      </c>
      <c r="G72" t="n">
        <v>0.5</v>
      </c>
      <c r="H72" t="n">
        <v>0</v>
      </c>
      <c r="I72" t="n">
        <v>0</v>
      </c>
      <c r="J72" t="n">
        <v>0</v>
      </c>
      <c r="K72" t="n">
        <v>0</v>
      </c>
      <c r="L72" t="n">
        <v>0</v>
      </c>
      <c r="M72" t="n">
        <v>0</v>
      </c>
      <c r="N72" t="n">
        <v>0</v>
      </c>
      <c r="O72" t="n">
        <v>0</v>
      </c>
      <c r="P72" t="n">
        <v>0</v>
      </c>
      <c r="Q72" t="n">
        <v>0</v>
      </c>
      <c r="R72" s="2" t="inlineStr"/>
    </row>
    <row r="73" ht="15" customHeight="1">
      <c r="A73" t="inlineStr">
        <is>
          <t>A 16621-2026</t>
        </is>
      </c>
      <c r="B73" s="1" t="n">
        <v>46112</v>
      </c>
      <c r="C73" s="1" t="n">
        <v>46196</v>
      </c>
      <c r="D73" t="inlineStr">
        <is>
          <t>SKÅNE LÄN</t>
        </is>
      </c>
      <c r="E73" t="inlineStr">
        <is>
          <t>TOMELILLA</t>
        </is>
      </c>
      <c r="F73" t="inlineStr">
        <is>
          <t>Kommuner</t>
        </is>
      </c>
      <c r="G73" t="n">
        <v>0.4</v>
      </c>
      <c r="H73" t="n">
        <v>0</v>
      </c>
      <c r="I73" t="n">
        <v>0</v>
      </c>
      <c r="J73" t="n">
        <v>0</v>
      </c>
      <c r="K73" t="n">
        <v>0</v>
      </c>
      <c r="L73" t="n">
        <v>0</v>
      </c>
      <c r="M73" t="n">
        <v>0</v>
      </c>
      <c r="N73" t="n">
        <v>0</v>
      </c>
      <c r="O73" t="n">
        <v>0</v>
      </c>
      <c r="P73" t="n">
        <v>0</v>
      </c>
      <c r="Q73" t="n">
        <v>0</v>
      </c>
      <c r="R73" s="2" t="inlineStr"/>
    </row>
    <row r="74" ht="15" customHeight="1">
      <c r="A74" t="inlineStr">
        <is>
          <t>A 19454-2024</t>
        </is>
      </c>
      <c r="B74" s="1" t="n">
        <v>45429</v>
      </c>
      <c r="C74" s="1" t="n">
        <v>46196</v>
      </c>
      <c r="D74" t="inlineStr">
        <is>
          <t>SKÅNE LÄN</t>
        </is>
      </c>
      <c r="E74" t="inlineStr">
        <is>
          <t>TOMELILLA</t>
        </is>
      </c>
      <c r="G74" t="n">
        <v>2.1</v>
      </c>
      <c r="H74" t="n">
        <v>0</v>
      </c>
      <c r="I74" t="n">
        <v>0</v>
      </c>
      <c r="J74" t="n">
        <v>0</v>
      </c>
      <c r="K74" t="n">
        <v>0</v>
      </c>
      <c r="L74" t="n">
        <v>0</v>
      </c>
      <c r="M74" t="n">
        <v>0</v>
      </c>
      <c r="N74" t="n">
        <v>0</v>
      </c>
      <c r="O74" t="n">
        <v>0</v>
      </c>
      <c r="P74" t="n">
        <v>0</v>
      </c>
      <c r="Q74" t="n">
        <v>0</v>
      </c>
      <c r="R74" s="2" t="inlineStr"/>
    </row>
    <row r="75" ht="15" customHeight="1">
      <c r="A75" t="inlineStr">
        <is>
          <t>A 24002-2026</t>
        </is>
      </c>
      <c r="B75" s="1" t="n">
        <v>46167</v>
      </c>
      <c r="C75" s="1" t="n">
        <v>46196</v>
      </c>
      <c r="D75" t="inlineStr">
        <is>
          <t>SKÅNE LÄN</t>
        </is>
      </c>
      <c r="E75" t="inlineStr">
        <is>
          <t>TOMELILLA</t>
        </is>
      </c>
      <c r="G75" t="n">
        <v>6.4</v>
      </c>
      <c r="H75" t="n">
        <v>0</v>
      </c>
      <c r="I75" t="n">
        <v>0</v>
      </c>
      <c r="J75" t="n">
        <v>0</v>
      </c>
      <c r="K75" t="n">
        <v>0</v>
      </c>
      <c r="L75" t="n">
        <v>0</v>
      </c>
      <c r="M75" t="n">
        <v>0</v>
      </c>
      <c r="N75" t="n">
        <v>0</v>
      </c>
      <c r="O75" t="n">
        <v>0</v>
      </c>
      <c r="P75" t="n">
        <v>0</v>
      </c>
      <c r="Q75" t="n">
        <v>0</v>
      </c>
      <c r="R75" s="2" t="inlineStr"/>
    </row>
    <row r="76" ht="15" customHeight="1">
      <c r="A76" t="inlineStr">
        <is>
          <t>A 24987-2026</t>
        </is>
      </c>
      <c r="B76" s="1" t="n">
        <v>46174</v>
      </c>
      <c r="C76" s="1" t="n">
        <v>46196</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25605-2026</t>
        </is>
      </c>
      <c r="B77" s="1" t="n">
        <v>46177</v>
      </c>
      <c r="C77" s="1" t="n">
        <v>46196</v>
      </c>
      <c r="D77" t="inlineStr">
        <is>
          <t>SKÅNE LÄN</t>
        </is>
      </c>
      <c r="E77" t="inlineStr">
        <is>
          <t>TOMELILLA</t>
        </is>
      </c>
      <c r="G77" t="n">
        <v>1.6</v>
      </c>
      <c r="H77" t="n">
        <v>0</v>
      </c>
      <c r="I77" t="n">
        <v>0</v>
      </c>
      <c r="J77" t="n">
        <v>0</v>
      </c>
      <c r="K77" t="n">
        <v>0</v>
      </c>
      <c r="L77" t="n">
        <v>0</v>
      </c>
      <c r="M77" t="n">
        <v>0</v>
      </c>
      <c r="N77" t="n">
        <v>0</v>
      </c>
      <c r="O77" t="n">
        <v>0</v>
      </c>
      <c r="P77" t="n">
        <v>0</v>
      </c>
      <c r="Q77" t="n">
        <v>0</v>
      </c>
      <c r="R77" s="2" t="inlineStr"/>
    </row>
    <row r="78" ht="15" customHeight="1">
      <c r="A78" t="inlineStr">
        <is>
          <t>A 15288-2026</t>
        </is>
      </c>
      <c r="B78" s="1" t="n">
        <v>46105</v>
      </c>
      <c r="C78" s="1" t="n">
        <v>46196</v>
      </c>
      <c r="D78" t="inlineStr">
        <is>
          <t>SKÅNE LÄN</t>
        </is>
      </c>
      <c r="E78" t="inlineStr">
        <is>
          <t>TOMELILLA</t>
        </is>
      </c>
      <c r="G78" t="n">
        <v>4.8</v>
      </c>
      <c r="H78" t="n">
        <v>0</v>
      </c>
      <c r="I78" t="n">
        <v>0</v>
      </c>
      <c r="J78" t="n">
        <v>0</v>
      </c>
      <c r="K78" t="n">
        <v>0</v>
      </c>
      <c r="L78" t="n">
        <v>0</v>
      </c>
      <c r="M78" t="n">
        <v>0</v>
      </c>
      <c r="N78" t="n">
        <v>0</v>
      </c>
      <c r="O78" t="n">
        <v>0</v>
      </c>
      <c r="P78" t="n">
        <v>0</v>
      </c>
      <c r="Q78" t="n">
        <v>0</v>
      </c>
      <c r="R78" s="2" t="inlineStr"/>
    </row>
    <row r="79" ht="15" customHeight="1">
      <c r="A79" t="inlineStr">
        <is>
          <t>A 61841-2025</t>
        </is>
      </c>
      <c r="B79" s="1" t="n">
        <v>46003</v>
      </c>
      <c r="C79" s="1" t="n">
        <v>46196</v>
      </c>
      <c r="D79" t="inlineStr">
        <is>
          <t>SKÅNE LÄN</t>
        </is>
      </c>
      <c r="E79" t="inlineStr">
        <is>
          <t>TOMELILLA</t>
        </is>
      </c>
      <c r="G79" t="n">
        <v>1.1</v>
      </c>
      <c r="H79" t="n">
        <v>0</v>
      </c>
      <c r="I79" t="n">
        <v>0</v>
      </c>
      <c r="J79" t="n">
        <v>0</v>
      </c>
      <c r="K79" t="n">
        <v>0</v>
      </c>
      <c r="L79" t="n">
        <v>0</v>
      </c>
      <c r="M79" t="n">
        <v>0</v>
      </c>
      <c r="N79" t="n">
        <v>0</v>
      </c>
      <c r="O79" t="n">
        <v>0</v>
      </c>
      <c r="P79" t="n">
        <v>0</v>
      </c>
      <c r="Q79" t="n">
        <v>0</v>
      </c>
      <c r="R79" s="2" t="inlineStr"/>
    </row>
    <row r="80" ht="15" customHeight="1">
      <c r="A80" t="inlineStr">
        <is>
          <t>A 59528-2022</t>
        </is>
      </c>
      <c r="B80" s="1" t="n">
        <v>44907</v>
      </c>
      <c r="C80" s="1" t="n">
        <v>46196</v>
      </c>
      <c r="D80" t="inlineStr">
        <is>
          <t>SKÅNE LÄN</t>
        </is>
      </c>
      <c r="E80" t="inlineStr">
        <is>
          <t>TOMELILLA</t>
        </is>
      </c>
      <c r="F80" t="inlineStr">
        <is>
          <t>Övriga Aktiebolag</t>
        </is>
      </c>
      <c r="G80" t="n">
        <v>3.8</v>
      </c>
      <c r="H80" t="n">
        <v>0</v>
      </c>
      <c r="I80" t="n">
        <v>0</v>
      </c>
      <c r="J80" t="n">
        <v>0</v>
      </c>
      <c r="K80" t="n">
        <v>0</v>
      </c>
      <c r="L80" t="n">
        <v>0</v>
      </c>
      <c r="M80" t="n">
        <v>0</v>
      </c>
      <c r="N80" t="n">
        <v>0</v>
      </c>
      <c r="O80" t="n">
        <v>0</v>
      </c>
      <c r="P80" t="n">
        <v>0</v>
      </c>
      <c r="Q80" t="n">
        <v>0</v>
      </c>
      <c r="R80" s="2" t="inlineStr"/>
    </row>
    <row r="81" ht="15" customHeight="1">
      <c r="A81" t="inlineStr">
        <is>
          <t>A 4482-2026</t>
        </is>
      </c>
      <c r="B81" s="1" t="n">
        <v>46045</v>
      </c>
      <c r="C81" s="1" t="n">
        <v>46196</v>
      </c>
      <c r="D81" t="inlineStr">
        <is>
          <t>SKÅNE LÄN</t>
        </is>
      </c>
      <c r="E81" t="inlineStr">
        <is>
          <t>TOMELILLA</t>
        </is>
      </c>
      <c r="F81" t="inlineStr">
        <is>
          <t>Övriga Aktiebolag</t>
        </is>
      </c>
      <c r="G81" t="n">
        <v>6.5</v>
      </c>
      <c r="H81" t="n">
        <v>0</v>
      </c>
      <c r="I81" t="n">
        <v>0</v>
      </c>
      <c r="J81" t="n">
        <v>0</v>
      </c>
      <c r="K81" t="n">
        <v>0</v>
      </c>
      <c r="L81" t="n">
        <v>0</v>
      </c>
      <c r="M81" t="n">
        <v>0</v>
      </c>
      <c r="N81" t="n">
        <v>0</v>
      </c>
      <c r="O81" t="n">
        <v>0</v>
      </c>
      <c r="P81" t="n">
        <v>0</v>
      </c>
      <c r="Q81" t="n">
        <v>0</v>
      </c>
      <c r="R81" s="2" t="inlineStr"/>
    </row>
    <row r="82" ht="15" customHeight="1">
      <c r="A82" t="inlineStr">
        <is>
          <t>A 25597-2026</t>
        </is>
      </c>
      <c r="B82" s="1" t="n">
        <v>46177</v>
      </c>
      <c r="C82" s="1" t="n">
        <v>46196</v>
      </c>
      <c r="D82" t="inlineStr">
        <is>
          <t>SKÅNE LÄN</t>
        </is>
      </c>
      <c r="E82" t="inlineStr">
        <is>
          <t>TOMELILLA</t>
        </is>
      </c>
      <c r="G82" t="n">
        <v>2.5</v>
      </c>
      <c r="H82" t="n">
        <v>0</v>
      </c>
      <c r="I82" t="n">
        <v>0</v>
      </c>
      <c r="J82" t="n">
        <v>0</v>
      </c>
      <c r="K82" t="n">
        <v>0</v>
      </c>
      <c r="L82" t="n">
        <v>0</v>
      </c>
      <c r="M82" t="n">
        <v>0</v>
      </c>
      <c r="N82" t="n">
        <v>0</v>
      </c>
      <c r="O82" t="n">
        <v>0</v>
      </c>
      <c r="P82" t="n">
        <v>0</v>
      </c>
      <c r="Q82" t="n">
        <v>0</v>
      </c>
      <c r="R82" s="2" t="inlineStr"/>
    </row>
    <row r="83" ht="15" customHeight="1">
      <c r="A83" t="inlineStr">
        <is>
          <t>A 30673-2023</t>
        </is>
      </c>
      <c r="B83" s="1" t="n">
        <v>45112</v>
      </c>
      <c r="C83" s="1" t="n">
        <v>46196</v>
      </c>
      <c r="D83" t="inlineStr">
        <is>
          <t>SKÅNE LÄN</t>
        </is>
      </c>
      <c r="E83" t="inlineStr">
        <is>
          <t>TOMELILLA</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6852-2026</t>
        </is>
      </c>
      <c r="B84" s="1" t="n">
        <v>46057</v>
      </c>
      <c r="C84" s="1" t="n">
        <v>46196</v>
      </c>
      <c r="D84" t="inlineStr">
        <is>
          <t>SKÅNE LÄN</t>
        </is>
      </c>
      <c r="E84" t="inlineStr">
        <is>
          <t>TOMELILLA</t>
        </is>
      </c>
      <c r="F84" t="inlineStr">
        <is>
          <t>Övriga Aktiebolag</t>
        </is>
      </c>
      <c r="G84" t="n">
        <v>4.8</v>
      </c>
      <c r="H84" t="n">
        <v>0</v>
      </c>
      <c r="I84" t="n">
        <v>0</v>
      </c>
      <c r="J84" t="n">
        <v>0</v>
      </c>
      <c r="K84" t="n">
        <v>0</v>
      </c>
      <c r="L84" t="n">
        <v>0</v>
      </c>
      <c r="M84" t="n">
        <v>0</v>
      </c>
      <c r="N84" t="n">
        <v>0</v>
      </c>
      <c r="O84" t="n">
        <v>0</v>
      </c>
      <c r="P84" t="n">
        <v>0</v>
      </c>
      <c r="Q84" t="n">
        <v>0</v>
      </c>
      <c r="R84" s="2" t="inlineStr"/>
    </row>
    <row r="85" ht="15" customHeight="1">
      <c r="A85" t="inlineStr">
        <is>
          <t>A 16611-2026</t>
        </is>
      </c>
      <c r="B85" s="1" t="n">
        <v>46112</v>
      </c>
      <c r="C85" s="1" t="n">
        <v>46196</v>
      </c>
      <c r="D85" t="inlineStr">
        <is>
          <t>SKÅNE LÄN</t>
        </is>
      </c>
      <c r="E85" t="inlineStr">
        <is>
          <t>TOMELILLA</t>
        </is>
      </c>
      <c r="F85" t="inlineStr">
        <is>
          <t>Kommuner</t>
        </is>
      </c>
      <c r="G85" t="n">
        <v>0.7</v>
      </c>
      <c r="H85" t="n">
        <v>0</v>
      </c>
      <c r="I85" t="n">
        <v>0</v>
      </c>
      <c r="J85" t="n">
        <v>0</v>
      </c>
      <c r="K85" t="n">
        <v>0</v>
      </c>
      <c r="L85" t="n">
        <v>0</v>
      </c>
      <c r="M85" t="n">
        <v>0</v>
      </c>
      <c r="N85" t="n">
        <v>0</v>
      </c>
      <c r="O85" t="n">
        <v>0</v>
      </c>
      <c r="P85" t="n">
        <v>0</v>
      </c>
      <c r="Q85" t="n">
        <v>0</v>
      </c>
      <c r="R85" s="2" t="inlineStr"/>
    </row>
    <row r="86" ht="15" customHeight="1">
      <c r="A86" t="inlineStr">
        <is>
          <t>A 21291-2026</t>
        </is>
      </c>
      <c r="B86" s="1" t="n">
        <v>46147</v>
      </c>
      <c r="C86" s="1" t="n">
        <v>46196</v>
      </c>
      <c r="D86" t="inlineStr">
        <is>
          <t>SKÅNE LÄN</t>
        </is>
      </c>
      <c r="E86" t="inlineStr">
        <is>
          <t>TOMELILLA</t>
        </is>
      </c>
      <c r="G86" t="n">
        <v>3</v>
      </c>
      <c r="H86" t="n">
        <v>0</v>
      </c>
      <c r="I86" t="n">
        <v>0</v>
      </c>
      <c r="J86" t="n">
        <v>0</v>
      </c>
      <c r="K86" t="n">
        <v>0</v>
      </c>
      <c r="L86" t="n">
        <v>0</v>
      </c>
      <c r="M86" t="n">
        <v>0</v>
      </c>
      <c r="N86" t="n">
        <v>0</v>
      </c>
      <c r="O86" t="n">
        <v>0</v>
      </c>
      <c r="P86" t="n">
        <v>0</v>
      </c>
      <c r="Q86" t="n">
        <v>0</v>
      </c>
      <c r="R86" s="2" t="inlineStr"/>
    </row>
    <row r="87" ht="15" customHeight="1">
      <c r="A87" t="inlineStr">
        <is>
          <t>A 21293-2026</t>
        </is>
      </c>
      <c r="B87" s="1" t="n">
        <v>46147</v>
      </c>
      <c r="C87" s="1" t="n">
        <v>46196</v>
      </c>
      <c r="D87" t="inlineStr">
        <is>
          <t>SKÅNE LÄN</t>
        </is>
      </c>
      <c r="E87" t="inlineStr">
        <is>
          <t>TOMELILLA</t>
        </is>
      </c>
      <c r="G87" t="n">
        <v>2.6</v>
      </c>
      <c r="H87" t="n">
        <v>0</v>
      </c>
      <c r="I87" t="n">
        <v>0</v>
      </c>
      <c r="J87" t="n">
        <v>0</v>
      </c>
      <c r="K87" t="n">
        <v>0</v>
      </c>
      <c r="L87" t="n">
        <v>0</v>
      </c>
      <c r="M87" t="n">
        <v>0</v>
      </c>
      <c r="N87" t="n">
        <v>0</v>
      </c>
      <c r="O87" t="n">
        <v>0</v>
      </c>
      <c r="P87" t="n">
        <v>0</v>
      </c>
      <c r="Q87" t="n">
        <v>0</v>
      </c>
      <c r="R87" s="2" t="inlineStr"/>
    </row>
    <row r="88" ht="15" customHeight="1">
      <c r="A88" t="inlineStr">
        <is>
          <t>A 15296-2026</t>
        </is>
      </c>
      <c r="B88" s="1" t="n">
        <v>46105</v>
      </c>
      <c r="C88" s="1" t="n">
        <v>46196</v>
      </c>
      <c r="D88" t="inlineStr">
        <is>
          <t>SKÅNE LÄN</t>
        </is>
      </c>
      <c r="E88" t="inlineStr">
        <is>
          <t>TOMELILLA</t>
        </is>
      </c>
      <c r="G88" t="n">
        <v>0.3</v>
      </c>
      <c r="H88" t="n">
        <v>0</v>
      </c>
      <c r="I88" t="n">
        <v>0</v>
      </c>
      <c r="J88" t="n">
        <v>0</v>
      </c>
      <c r="K88" t="n">
        <v>0</v>
      </c>
      <c r="L88" t="n">
        <v>0</v>
      </c>
      <c r="M88" t="n">
        <v>0</v>
      </c>
      <c r="N88" t="n">
        <v>0</v>
      </c>
      <c r="O88" t="n">
        <v>0</v>
      </c>
      <c r="P88" t="n">
        <v>0</v>
      </c>
      <c r="Q88" t="n">
        <v>0</v>
      </c>
      <c r="R88" s="2" t="inlineStr"/>
    </row>
    <row r="89" ht="15" customHeight="1">
      <c r="A89" t="inlineStr">
        <is>
          <t>A 23621-2026</t>
        </is>
      </c>
      <c r="B89" s="1" t="n">
        <v>46162</v>
      </c>
      <c r="C89" s="1" t="n">
        <v>46196</v>
      </c>
      <c r="D89" t="inlineStr">
        <is>
          <t>SKÅNE LÄN</t>
        </is>
      </c>
      <c r="E89" t="inlineStr">
        <is>
          <t>TOMELILLA</t>
        </is>
      </c>
      <c r="G89" t="n">
        <v>3.8</v>
      </c>
      <c r="H89" t="n">
        <v>0</v>
      </c>
      <c r="I89" t="n">
        <v>0</v>
      </c>
      <c r="J89" t="n">
        <v>0</v>
      </c>
      <c r="K89" t="n">
        <v>0</v>
      </c>
      <c r="L89" t="n">
        <v>0</v>
      </c>
      <c r="M89" t="n">
        <v>0</v>
      </c>
      <c r="N89" t="n">
        <v>0</v>
      </c>
      <c r="O89" t="n">
        <v>0</v>
      </c>
      <c r="P89" t="n">
        <v>0</v>
      </c>
      <c r="Q89" t="n">
        <v>0</v>
      </c>
      <c r="R89" s="2" t="inlineStr"/>
    </row>
    <row r="90" ht="15" customHeight="1">
      <c r="A90" t="inlineStr">
        <is>
          <t>A 1199-2024</t>
        </is>
      </c>
      <c r="B90" s="1" t="n">
        <v>45302</v>
      </c>
      <c r="C90" s="1" t="n">
        <v>46196</v>
      </c>
      <c r="D90" t="inlineStr">
        <is>
          <t>SKÅNE LÄN</t>
        </is>
      </c>
      <c r="E90" t="inlineStr">
        <is>
          <t>TOMELILLA</t>
        </is>
      </c>
      <c r="F90" t="inlineStr">
        <is>
          <t>Övriga Aktiebolag</t>
        </is>
      </c>
      <c r="G90" t="n">
        <v>16.1</v>
      </c>
      <c r="H90" t="n">
        <v>0</v>
      </c>
      <c r="I90" t="n">
        <v>0</v>
      </c>
      <c r="J90" t="n">
        <v>0</v>
      </c>
      <c r="K90" t="n">
        <v>0</v>
      </c>
      <c r="L90" t="n">
        <v>0</v>
      </c>
      <c r="M90" t="n">
        <v>0</v>
      </c>
      <c r="N90" t="n">
        <v>0</v>
      </c>
      <c r="O90" t="n">
        <v>0</v>
      </c>
      <c r="P90" t="n">
        <v>0</v>
      </c>
      <c r="Q90" t="n">
        <v>0</v>
      </c>
      <c r="R90" s="2" t="inlineStr"/>
    </row>
    <row r="91" ht="15" customHeight="1">
      <c r="A91" t="inlineStr">
        <is>
          <t>A 4018-2024</t>
        </is>
      </c>
      <c r="B91" s="1" t="n">
        <v>45323</v>
      </c>
      <c r="C91" s="1" t="n">
        <v>46196</v>
      </c>
      <c r="D91" t="inlineStr">
        <is>
          <t>SKÅNE LÄN</t>
        </is>
      </c>
      <c r="E91" t="inlineStr">
        <is>
          <t>TOMELILLA</t>
        </is>
      </c>
      <c r="F91" t="inlineStr">
        <is>
          <t>Övriga Aktiebolag</t>
        </is>
      </c>
      <c r="G91" t="n">
        <v>3.5</v>
      </c>
      <c r="H91" t="n">
        <v>0</v>
      </c>
      <c r="I91" t="n">
        <v>0</v>
      </c>
      <c r="J91" t="n">
        <v>0</v>
      </c>
      <c r="K91" t="n">
        <v>0</v>
      </c>
      <c r="L91" t="n">
        <v>0</v>
      </c>
      <c r="M91" t="n">
        <v>0</v>
      </c>
      <c r="N91" t="n">
        <v>0</v>
      </c>
      <c r="O91" t="n">
        <v>0</v>
      </c>
      <c r="P91" t="n">
        <v>0</v>
      </c>
      <c r="Q91" t="n">
        <v>0</v>
      </c>
      <c r="R91" s="2" t="inlineStr"/>
    </row>
    <row r="92" ht="15" customHeight="1">
      <c r="A92" t="inlineStr">
        <is>
          <t>A 6259-2024</t>
        </is>
      </c>
      <c r="B92" s="1" t="n">
        <v>45337</v>
      </c>
      <c r="C92" s="1" t="n">
        <v>46196</v>
      </c>
      <c r="D92" t="inlineStr">
        <is>
          <t>SKÅNE LÄN</t>
        </is>
      </c>
      <c r="E92" t="inlineStr">
        <is>
          <t>TOMELILLA</t>
        </is>
      </c>
      <c r="G92" t="n">
        <v>5</v>
      </c>
      <c r="H92" t="n">
        <v>0</v>
      </c>
      <c r="I92" t="n">
        <v>0</v>
      </c>
      <c r="J92" t="n">
        <v>0</v>
      </c>
      <c r="K92" t="n">
        <v>0</v>
      </c>
      <c r="L92" t="n">
        <v>0</v>
      </c>
      <c r="M92" t="n">
        <v>0</v>
      </c>
      <c r="N92" t="n">
        <v>0</v>
      </c>
      <c r="O92" t="n">
        <v>0</v>
      </c>
      <c r="P92" t="n">
        <v>0</v>
      </c>
      <c r="Q92" t="n">
        <v>0</v>
      </c>
      <c r="R92" s="2" t="inlineStr"/>
    </row>
    <row r="93" ht="15" customHeight="1">
      <c r="A93" t="inlineStr">
        <is>
          <t>A 6316-2024</t>
        </is>
      </c>
      <c r="B93" s="1" t="n">
        <v>45338</v>
      </c>
      <c r="C93" s="1" t="n">
        <v>46196</v>
      </c>
      <c r="D93" t="inlineStr">
        <is>
          <t>SKÅNE LÄN</t>
        </is>
      </c>
      <c r="E93" t="inlineStr">
        <is>
          <t>TOMELILLA</t>
        </is>
      </c>
      <c r="F93" t="inlineStr">
        <is>
          <t>Övriga Aktiebolag</t>
        </is>
      </c>
      <c r="G93" t="n">
        <v>28.6</v>
      </c>
      <c r="H93" t="n">
        <v>0</v>
      </c>
      <c r="I93" t="n">
        <v>0</v>
      </c>
      <c r="J93" t="n">
        <v>0</v>
      </c>
      <c r="K93" t="n">
        <v>0</v>
      </c>
      <c r="L93" t="n">
        <v>0</v>
      </c>
      <c r="M93" t="n">
        <v>0</v>
      </c>
      <c r="N93" t="n">
        <v>0</v>
      </c>
      <c r="O93" t="n">
        <v>0</v>
      </c>
      <c r="P93" t="n">
        <v>0</v>
      </c>
      <c r="Q93" t="n">
        <v>0</v>
      </c>
      <c r="R93" s="2" t="inlineStr"/>
    </row>
    <row r="94" ht="15" customHeight="1">
      <c r="A94" t="inlineStr">
        <is>
          <t>A 24934-2024</t>
        </is>
      </c>
      <c r="B94" s="1" t="n">
        <v>45461</v>
      </c>
      <c r="C94" s="1" t="n">
        <v>46196</v>
      </c>
      <c r="D94" t="inlineStr">
        <is>
          <t>SKÅNE LÄN</t>
        </is>
      </c>
      <c r="E94" t="inlineStr">
        <is>
          <t>TOMELILLA</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42794-2024</t>
        </is>
      </c>
      <c r="B95" s="1" t="n">
        <v>45566</v>
      </c>
      <c r="C95" s="1" t="n">
        <v>46196</v>
      </c>
      <c r="D95" t="inlineStr">
        <is>
          <t>SKÅNE LÄN</t>
        </is>
      </c>
      <c r="E95" t="inlineStr">
        <is>
          <t>TOMELILLA</t>
        </is>
      </c>
      <c r="G95" t="n">
        <v>1.9</v>
      </c>
      <c r="H95" t="n">
        <v>0</v>
      </c>
      <c r="I95" t="n">
        <v>0</v>
      </c>
      <c r="J95" t="n">
        <v>0</v>
      </c>
      <c r="K95" t="n">
        <v>0</v>
      </c>
      <c r="L95" t="n">
        <v>0</v>
      </c>
      <c r="M95" t="n">
        <v>0</v>
      </c>
      <c r="N95" t="n">
        <v>0</v>
      </c>
      <c r="O95" t="n">
        <v>0</v>
      </c>
      <c r="P95" t="n">
        <v>0</v>
      </c>
      <c r="Q95" t="n">
        <v>0</v>
      </c>
      <c r="R95" s="2" t="inlineStr"/>
    </row>
    <row r="96" ht="15" customHeight="1">
      <c r="A96" t="inlineStr">
        <is>
          <t>A 4188-2024</t>
        </is>
      </c>
      <c r="B96" s="1" t="n">
        <v>45324</v>
      </c>
      <c r="C96" s="1" t="n">
        <v>46196</v>
      </c>
      <c r="D96" t="inlineStr">
        <is>
          <t>SKÅNE LÄN</t>
        </is>
      </c>
      <c r="E96" t="inlineStr">
        <is>
          <t>TOMELILLA</t>
        </is>
      </c>
      <c r="F96" t="inlineStr">
        <is>
          <t>Övriga Aktiebolag</t>
        </is>
      </c>
      <c r="G96" t="n">
        <v>9.6</v>
      </c>
      <c r="H96" t="n">
        <v>0</v>
      </c>
      <c r="I96" t="n">
        <v>0</v>
      </c>
      <c r="J96" t="n">
        <v>0</v>
      </c>
      <c r="K96" t="n">
        <v>0</v>
      </c>
      <c r="L96" t="n">
        <v>0</v>
      </c>
      <c r="M96" t="n">
        <v>0</v>
      </c>
      <c r="N96" t="n">
        <v>0</v>
      </c>
      <c r="O96" t="n">
        <v>0</v>
      </c>
      <c r="P96" t="n">
        <v>0</v>
      </c>
      <c r="Q96" t="n">
        <v>0</v>
      </c>
      <c r="R96" s="2" t="inlineStr"/>
    </row>
    <row r="97" ht="15" customHeight="1">
      <c r="A97" t="inlineStr">
        <is>
          <t>A 2190-2022</t>
        </is>
      </c>
      <c r="B97" s="1" t="n">
        <v>44578</v>
      </c>
      <c r="C97" s="1" t="n">
        <v>46196</v>
      </c>
      <c r="D97" t="inlineStr">
        <is>
          <t>SKÅNE LÄN</t>
        </is>
      </c>
      <c r="E97" t="inlineStr">
        <is>
          <t>TOMELILLA</t>
        </is>
      </c>
      <c r="F97" t="inlineStr">
        <is>
          <t>Sveaskog</t>
        </is>
      </c>
      <c r="G97" t="n">
        <v>4.9</v>
      </c>
      <c r="H97" t="n">
        <v>0</v>
      </c>
      <c r="I97" t="n">
        <v>0</v>
      </c>
      <c r="J97" t="n">
        <v>0</v>
      </c>
      <c r="K97" t="n">
        <v>0</v>
      </c>
      <c r="L97" t="n">
        <v>0</v>
      </c>
      <c r="M97" t="n">
        <v>0</v>
      </c>
      <c r="N97" t="n">
        <v>0</v>
      </c>
      <c r="O97" t="n">
        <v>0</v>
      </c>
      <c r="P97" t="n">
        <v>0</v>
      </c>
      <c r="Q97" t="n">
        <v>0</v>
      </c>
      <c r="R97" s="2" t="inlineStr"/>
    </row>
    <row r="98" ht="15" customHeight="1">
      <c r="A98" t="inlineStr">
        <is>
          <t>A 53977-2022</t>
        </is>
      </c>
      <c r="B98" s="1" t="n">
        <v>44876</v>
      </c>
      <c r="C98" s="1" t="n">
        <v>46196</v>
      </c>
      <c r="D98" t="inlineStr">
        <is>
          <t>SKÅNE LÄN</t>
        </is>
      </c>
      <c r="E98" t="inlineStr">
        <is>
          <t>TOMELILLA</t>
        </is>
      </c>
      <c r="G98" t="n">
        <v>2.4</v>
      </c>
      <c r="H98" t="n">
        <v>0</v>
      </c>
      <c r="I98" t="n">
        <v>0</v>
      </c>
      <c r="J98" t="n">
        <v>0</v>
      </c>
      <c r="K98" t="n">
        <v>0</v>
      </c>
      <c r="L98" t="n">
        <v>0</v>
      </c>
      <c r="M98" t="n">
        <v>0</v>
      </c>
      <c r="N98" t="n">
        <v>0</v>
      </c>
      <c r="O98" t="n">
        <v>0</v>
      </c>
      <c r="P98" t="n">
        <v>0</v>
      </c>
      <c r="Q98" t="n">
        <v>0</v>
      </c>
      <c r="R98" s="2" t="inlineStr"/>
    </row>
    <row r="99" ht="15" customHeight="1">
      <c r="A99" t="inlineStr">
        <is>
          <t>A 12903-2024</t>
        </is>
      </c>
      <c r="B99" s="1" t="n">
        <v>45385</v>
      </c>
      <c r="C99" s="1" t="n">
        <v>46196</v>
      </c>
      <c r="D99" t="inlineStr">
        <is>
          <t>SKÅNE LÄN</t>
        </is>
      </c>
      <c r="E99" t="inlineStr">
        <is>
          <t>TOMELILLA</t>
        </is>
      </c>
      <c r="G99" t="n">
        <v>9.199999999999999</v>
      </c>
      <c r="H99" t="n">
        <v>0</v>
      </c>
      <c r="I99" t="n">
        <v>0</v>
      </c>
      <c r="J99" t="n">
        <v>0</v>
      </c>
      <c r="K99" t="n">
        <v>0</v>
      </c>
      <c r="L99" t="n">
        <v>0</v>
      </c>
      <c r="M99" t="n">
        <v>0</v>
      </c>
      <c r="N99" t="n">
        <v>0</v>
      </c>
      <c r="O99" t="n">
        <v>0</v>
      </c>
      <c r="P99" t="n">
        <v>0</v>
      </c>
      <c r="Q99" t="n">
        <v>0</v>
      </c>
      <c r="R99" s="2" t="inlineStr"/>
    </row>
    <row r="100" ht="15" customHeight="1">
      <c r="A100" t="inlineStr">
        <is>
          <t>A 17151-2024</t>
        </is>
      </c>
      <c r="B100" s="1" t="n">
        <v>45412</v>
      </c>
      <c r="C100" s="1" t="n">
        <v>46196</v>
      </c>
      <c r="D100" t="inlineStr">
        <is>
          <t>SKÅNE LÄN</t>
        </is>
      </c>
      <c r="E100" t="inlineStr">
        <is>
          <t>TOMELILLA</t>
        </is>
      </c>
      <c r="F100" t="inlineStr">
        <is>
          <t>Övriga Aktiebolag</t>
        </is>
      </c>
      <c r="G100" t="n">
        <v>3.6</v>
      </c>
      <c r="H100" t="n">
        <v>0</v>
      </c>
      <c r="I100" t="n">
        <v>0</v>
      </c>
      <c r="J100" t="n">
        <v>0</v>
      </c>
      <c r="K100" t="n">
        <v>0</v>
      </c>
      <c r="L100" t="n">
        <v>0</v>
      </c>
      <c r="M100" t="n">
        <v>0</v>
      </c>
      <c r="N100" t="n">
        <v>0</v>
      </c>
      <c r="O100" t="n">
        <v>0</v>
      </c>
      <c r="P100" t="n">
        <v>0</v>
      </c>
      <c r="Q100" t="n">
        <v>0</v>
      </c>
      <c r="R100" s="2" t="inlineStr"/>
    </row>
    <row r="101" ht="15" customHeight="1">
      <c r="A101" t="inlineStr">
        <is>
          <t>A 30040-2024</t>
        </is>
      </c>
      <c r="B101" s="1" t="n">
        <v>45488</v>
      </c>
      <c r="C101" s="1" t="n">
        <v>46196</v>
      </c>
      <c r="D101" t="inlineStr">
        <is>
          <t>SKÅNE LÄN</t>
        </is>
      </c>
      <c r="E101" t="inlineStr">
        <is>
          <t>TOMELILLA</t>
        </is>
      </c>
      <c r="G101" t="n">
        <v>4.3</v>
      </c>
      <c r="H101" t="n">
        <v>0</v>
      </c>
      <c r="I101" t="n">
        <v>0</v>
      </c>
      <c r="J101" t="n">
        <v>0</v>
      </c>
      <c r="K101" t="n">
        <v>0</v>
      </c>
      <c r="L101" t="n">
        <v>0</v>
      </c>
      <c r="M101" t="n">
        <v>0</v>
      </c>
      <c r="N101" t="n">
        <v>0</v>
      </c>
      <c r="O101" t="n">
        <v>0</v>
      </c>
      <c r="P101" t="n">
        <v>0</v>
      </c>
      <c r="Q101" t="n">
        <v>0</v>
      </c>
      <c r="R101" s="2" t="inlineStr"/>
    </row>
    <row r="102" ht="15" customHeight="1">
      <c r="A102" t="inlineStr">
        <is>
          <t>A 16483-2024</t>
        </is>
      </c>
      <c r="B102" s="1" t="n">
        <v>45408</v>
      </c>
      <c r="C102" s="1" t="n">
        <v>46196</v>
      </c>
      <c r="D102" t="inlineStr">
        <is>
          <t>SKÅNE LÄN</t>
        </is>
      </c>
      <c r="E102" t="inlineStr">
        <is>
          <t>TOMELILLA</t>
        </is>
      </c>
      <c r="G102" t="n">
        <v>0.7</v>
      </c>
      <c r="H102" t="n">
        <v>0</v>
      </c>
      <c r="I102" t="n">
        <v>0</v>
      </c>
      <c r="J102" t="n">
        <v>0</v>
      </c>
      <c r="K102" t="n">
        <v>0</v>
      </c>
      <c r="L102" t="n">
        <v>0</v>
      </c>
      <c r="M102" t="n">
        <v>0</v>
      </c>
      <c r="N102" t="n">
        <v>0</v>
      </c>
      <c r="O102" t="n">
        <v>0</v>
      </c>
      <c r="P102" t="n">
        <v>0</v>
      </c>
      <c r="Q102" t="n">
        <v>0</v>
      </c>
      <c r="R102" s="2" t="inlineStr"/>
    </row>
    <row r="103" ht="15" customHeight="1">
      <c r="A103" t="inlineStr">
        <is>
          <t>A 12663-2022</t>
        </is>
      </c>
      <c r="B103" s="1" t="n">
        <v>44641</v>
      </c>
      <c r="C103" s="1" t="n">
        <v>46196</v>
      </c>
      <c r="D103" t="inlineStr">
        <is>
          <t>SKÅNE LÄN</t>
        </is>
      </c>
      <c r="E103" t="inlineStr">
        <is>
          <t>TOMELILLA</t>
        </is>
      </c>
      <c r="F103" t="inlineStr">
        <is>
          <t>Övriga Aktiebolag</t>
        </is>
      </c>
      <c r="G103" t="n">
        <v>12.4</v>
      </c>
      <c r="H103" t="n">
        <v>0</v>
      </c>
      <c r="I103" t="n">
        <v>0</v>
      </c>
      <c r="J103" t="n">
        <v>0</v>
      </c>
      <c r="K103" t="n">
        <v>0</v>
      </c>
      <c r="L103" t="n">
        <v>0</v>
      </c>
      <c r="M103" t="n">
        <v>0</v>
      </c>
      <c r="N103" t="n">
        <v>0</v>
      </c>
      <c r="O103" t="n">
        <v>0</v>
      </c>
      <c r="P103" t="n">
        <v>0</v>
      </c>
      <c r="Q103" t="n">
        <v>0</v>
      </c>
      <c r="R103" s="2" t="inlineStr"/>
    </row>
    <row r="104" ht="15" customHeight="1">
      <c r="A104" t="inlineStr">
        <is>
          <t>A 30806-2023</t>
        </is>
      </c>
      <c r="B104" s="1" t="n">
        <v>45112</v>
      </c>
      <c r="C104" s="1" t="n">
        <v>46196</v>
      </c>
      <c r="D104" t="inlineStr">
        <is>
          <t>SKÅNE LÄN</t>
        </is>
      </c>
      <c r="E104" t="inlineStr">
        <is>
          <t>TOMELILLA</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17316-2024</t>
        </is>
      </c>
      <c r="B105" s="1" t="n">
        <v>45414</v>
      </c>
      <c r="C105" s="1" t="n">
        <v>46196</v>
      </c>
      <c r="D105" t="inlineStr">
        <is>
          <t>SKÅNE LÄN</t>
        </is>
      </c>
      <c r="E105" t="inlineStr">
        <is>
          <t>TOMELILLA</t>
        </is>
      </c>
      <c r="F105" t="inlineStr">
        <is>
          <t>Övriga Aktiebolag</t>
        </is>
      </c>
      <c r="G105" t="n">
        <v>4.3</v>
      </c>
      <c r="H105" t="n">
        <v>0</v>
      </c>
      <c r="I105" t="n">
        <v>0</v>
      </c>
      <c r="J105" t="n">
        <v>0</v>
      </c>
      <c r="K105" t="n">
        <v>0</v>
      </c>
      <c r="L105" t="n">
        <v>0</v>
      </c>
      <c r="M105" t="n">
        <v>0</v>
      </c>
      <c r="N105" t="n">
        <v>0</v>
      </c>
      <c r="O105" t="n">
        <v>0</v>
      </c>
      <c r="P105" t="n">
        <v>0</v>
      </c>
      <c r="Q105" t="n">
        <v>0</v>
      </c>
      <c r="R105" s="2" t="inlineStr"/>
    </row>
    <row r="106" ht="15" customHeight="1">
      <c r="A106" t="inlineStr">
        <is>
          <t>A 31993-2023</t>
        </is>
      </c>
      <c r="B106" s="1" t="n">
        <v>45119</v>
      </c>
      <c r="C106" s="1" t="n">
        <v>46196</v>
      </c>
      <c r="D106" t="inlineStr">
        <is>
          <t>SKÅNE LÄN</t>
        </is>
      </c>
      <c r="E106" t="inlineStr">
        <is>
          <t>TOMELILLA</t>
        </is>
      </c>
      <c r="G106" t="n">
        <v>6.8</v>
      </c>
      <c r="H106" t="n">
        <v>0</v>
      </c>
      <c r="I106" t="n">
        <v>0</v>
      </c>
      <c r="J106" t="n">
        <v>0</v>
      </c>
      <c r="K106" t="n">
        <v>0</v>
      </c>
      <c r="L106" t="n">
        <v>0</v>
      </c>
      <c r="M106" t="n">
        <v>0</v>
      </c>
      <c r="N106" t="n">
        <v>0</v>
      </c>
      <c r="O106" t="n">
        <v>0</v>
      </c>
      <c r="P106" t="n">
        <v>0</v>
      </c>
      <c r="Q106" t="n">
        <v>0</v>
      </c>
      <c r="R106" s="2" t="inlineStr"/>
    </row>
    <row r="107" ht="15" customHeight="1">
      <c r="A107" t="inlineStr">
        <is>
          <t>A 16568-2024</t>
        </is>
      </c>
      <c r="B107" s="1" t="n">
        <v>45408</v>
      </c>
      <c r="C107" s="1" t="n">
        <v>46196</v>
      </c>
      <c r="D107" t="inlineStr">
        <is>
          <t>SKÅNE LÄN</t>
        </is>
      </c>
      <c r="E107" t="inlineStr">
        <is>
          <t>TOMELILLA</t>
        </is>
      </c>
      <c r="G107" t="n">
        <v>0.6</v>
      </c>
      <c r="H107" t="n">
        <v>0</v>
      </c>
      <c r="I107" t="n">
        <v>0</v>
      </c>
      <c r="J107" t="n">
        <v>0</v>
      </c>
      <c r="K107" t="n">
        <v>0</v>
      </c>
      <c r="L107" t="n">
        <v>0</v>
      </c>
      <c r="M107" t="n">
        <v>0</v>
      </c>
      <c r="N107" t="n">
        <v>0</v>
      </c>
      <c r="O107" t="n">
        <v>0</v>
      </c>
      <c r="P107" t="n">
        <v>0</v>
      </c>
      <c r="Q107" t="n">
        <v>0</v>
      </c>
      <c r="R107" s="2" t="inlineStr"/>
    </row>
    <row r="108" ht="15" customHeight="1">
      <c r="A108" t="inlineStr">
        <is>
          <t>A 4677-2023</t>
        </is>
      </c>
      <c r="B108" s="1" t="n">
        <v>44952</v>
      </c>
      <c r="C108" s="1" t="n">
        <v>46196</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56968-2024</t>
        </is>
      </c>
      <c r="B109" s="1" t="n">
        <v>45628</v>
      </c>
      <c r="C109" s="1" t="n">
        <v>46196</v>
      </c>
      <c r="D109" t="inlineStr">
        <is>
          <t>SKÅNE LÄN</t>
        </is>
      </c>
      <c r="E109" t="inlineStr">
        <is>
          <t>TOMELILLA</t>
        </is>
      </c>
      <c r="G109" t="n">
        <v>1.5</v>
      </c>
      <c r="H109" t="n">
        <v>0</v>
      </c>
      <c r="I109" t="n">
        <v>0</v>
      </c>
      <c r="J109" t="n">
        <v>0</v>
      </c>
      <c r="K109" t="n">
        <v>0</v>
      </c>
      <c r="L109" t="n">
        <v>0</v>
      </c>
      <c r="M109" t="n">
        <v>0</v>
      </c>
      <c r="N109" t="n">
        <v>0</v>
      </c>
      <c r="O109" t="n">
        <v>0</v>
      </c>
      <c r="P109" t="n">
        <v>0</v>
      </c>
      <c r="Q109" t="n">
        <v>0</v>
      </c>
      <c r="R109" s="2" t="inlineStr"/>
    </row>
    <row r="110" ht="15" customHeight="1">
      <c r="A110" t="inlineStr">
        <is>
          <t>A 11802-2024</t>
        </is>
      </c>
      <c r="B110" s="1" t="n">
        <v>45375</v>
      </c>
      <c r="C110" s="1" t="n">
        <v>46196</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11894-2024</t>
        </is>
      </c>
      <c r="B111" s="1" t="n">
        <v>45376</v>
      </c>
      <c r="C111" s="1" t="n">
        <v>46196</v>
      </c>
      <c r="D111" t="inlineStr">
        <is>
          <t>SKÅNE LÄN</t>
        </is>
      </c>
      <c r="E111" t="inlineStr">
        <is>
          <t>TOMELILLA</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24248-2024</t>
        </is>
      </c>
      <c r="B112" s="1" t="n">
        <v>45457</v>
      </c>
      <c r="C112" s="1" t="n">
        <v>46196</v>
      </c>
      <c r="D112" t="inlineStr">
        <is>
          <t>SKÅNE LÄN</t>
        </is>
      </c>
      <c r="E112" t="inlineStr">
        <is>
          <t>TOMELILLA</t>
        </is>
      </c>
      <c r="G112" t="n">
        <v>2</v>
      </c>
      <c r="H112" t="n">
        <v>0</v>
      </c>
      <c r="I112" t="n">
        <v>0</v>
      </c>
      <c r="J112" t="n">
        <v>0</v>
      </c>
      <c r="K112" t="n">
        <v>0</v>
      </c>
      <c r="L112" t="n">
        <v>0</v>
      </c>
      <c r="M112" t="n">
        <v>0</v>
      </c>
      <c r="N112" t="n">
        <v>0</v>
      </c>
      <c r="O112" t="n">
        <v>0</v>
      </c>
      <c r="P112" t="n">
        <v>0</v>
      </c>
      <c r="Q112" t="n">
        <v>0</v>
      </c>
      <c r="R112" s="2" t="inlineStr"/>
    </row>
    <row r="113" ht="15" customHeight="1">
      <c r="A113" t="inlineStr">
        <is>
          <t>A 5027-2024</t>
        </is>
      </c>
      <c r="B113" s="1" t="n">
        <v>45329</v>
      </c>
      <c r="C113" s="1" t="n">
        <v>46196</v>
      </c>
      <c r="D113" t="inlineStr">
        <is>
          <t>SKÅNE LÄN</t>
        </is>
      </c>
      <c r="E113" t="inlineStr">
        <is>
          <t>TOMELILLA</t>
        </is>
      </c>
      <c r="F113" t="inlineStr">
        <is>
          <t>Övriga Aktiebolag</t>
        </is>
      </c>
      <c r="G113" t="n">
        <v>4.7</v>
      </c>
      <c r="H113" t="n">
        <v>0</v>
      </c>
      <c r="I113" t="n">
        <v>0</v>
      </c>
      <c r="J113" t="n">
        <v>0</v>
      </c>
      <c r="K113" t="n">
        <v>0</v>
      </c>
      <c r="L113" t="n">
        <v>0</v>
      </c>
      <c r="M113" t="n">
        <v>0</v>
      </c>
      <c r="N113" t="n">
        <v>0</v>
      </c>
      <c r="O113" t="n">
        <v>0</v>
      </c>
      <c r="P113" t="n">
        <v>0</v>
      </c>
      <c r="Q113" t="n">
        <v>0</v>
      </c>
      <c r="R113" s="2" t="inlineStr"/>
    </row>
    <row r="114" ht="15" customHeight="1">
      <c r="A114" t="inlineStr">
        <is>
          <t>A 12181-2023</t>
        </is>
      </c>
      <c r="B114" s="1" t="n">
        <v>44998</v>
      </c>
      <c r="C114" s="1" t="n">
        <v>46196</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38562-2023</t>
        </is>
      </c>
      <c r="B115" s="1" t="n">
        <v>45162</v>
      </c>
      <c r="C115" s="1" t="n">
        <v>46196</v>
      </c>
      <c r="D115" t="inlineStr">
        <is>
          <t>SKÅNE LÄN</t>
        </is>
      </c>
      <c r="E115" t="inlineStr">
        <is>
          <t>TOMELILLA</t>
        </is>
      </c>
      <c r="G115" t="n">
        <v>2.2</v>
      </c>
      <c r="H115" t="n">
        <v>0</v>
      </c>
      <c r="I115" t="n">
        <v>0</v>
      </c>
      <c r="J115" t="n">
        <v>0</v>
      </c>
      <c r="K115" t="n">
        <v>0</v>
      </c>
      <c r="L115" t="n">
        <v>0</v>
      </c>
      <c r="M115" t="n">
        <v>0</v>
      </c>
      <c r="N115" t="n">
        <v>0</v>
      </c>
      <c r="O115" t="n">
        <v>0</v>
      </c>
      <c r="P115" t="n">
        <v>0</v>
      </c>
      <c r="Q115" t="n">
        <v>0</v>
      </c>
      <c r="R115" s="2" t="inlineStr"/>
    </row>
    <row r="116" ht="15" customHeight="1">
      <c r="A116" t="inlineStr">
        <is>
          <t>A 19500-2024</t>
        </is>
      </c>
      <c r="B116" s="1" t="n">
        <v>45429</v>
      </c>
      <c r="C116" s="1" t="n">
        <v>46196</v>
      </c>
      <c r="D116" t="inlineStr">
        <is>
          <t>SKÅNE LÄN</t>
        </is>
      </c>
      <c r="E116" t="inlineStr">
        <is>
          <t>TOMELILLA</t>
        </is>
      </c>
      <c r="G116" t="n">
        <v>3.2</v>
      </c>
      <c r="H116" t="n">
        <v>0</v>
      </c>
      <c r="I116" t="n">
        <v>0</v>
      </c>
      <c r="J116" t="n">
        <v>0</v>
      </c>
      <c r="K116" t="n">
        <v>0</v>
      </c>
      <c r="L116" t="n">
        <v>0</v>
      </c>
      <c r="M116" t="n">
        <v>0</v>
      </c>
      <c r="N116" t="n">
        <v>0</v>
      </c>
      <c r="O116" t="n">
        <v>0</v>
      </c>
      <c r="P116" t="n">
        <v>0</v>
      </c>
      <c r="Q116" t="n">
        <v>0</v>
      </c>
      <c r="R116" s="2" t="inlineStr"/>
    </row>
    <row r="117" ht="15" customHeight="1">
      <c r="A117" t="inlineStr">
        <is>
          <t>A 17778-2024</t>
        </is>
      </c>
      <c r="B117" s="1" t="n">
        <v>45418</v>
      </c>
      <c r="C117" s="1" t="n">
        <v>46196</v>
      </c>
      <c r="D117" t="inlineStr">
        <is>
          <t>SKÅNE LÄN</t>
        </is>
      </c>
      <c r="E117" t="inlineStr">
        <is>
          <t>TOMELILLA</t>
        </is>
      </c>
      <c r="F117" t="inlineStr">
        <is>
          <t>Övriga Aktiebolag</t>
        </is>
      </c>
      <c r="G117" t="n">
        <v>2</v>
      </c>
      <c r="H117" t="n">
        <v>0</v>
      </c>
      <c r="I117" t="n">
        <v>0</v>
      </c>
      <c r="J117" t="n">
        <v>0</v>
      </c>
      <c r="K117" t="n">
        <v>0</v>
      </c>
      <c r="L117" t="n">
        <v>0</v>
      </c>
      <c r="M117" t="n">
        <v>0</v>
      </c>
      <c r="N117" t="n">
        <v>0</v>
      </c>
      <c r="O117" t="n">
        <v>0</v>
      </c>
      <c r="P117" t="n">
        <v>0</v>
      </c>
      <c r="Q117" t="n">
        <v>0</v>
      </c>
      <c r="R117" s="2" t="inlineStr"/>
    </row>
    <row r="118" ht="15" customHeight="1">
      <c r="A118" t="inlineStr">
        <is>
          <t>A 44675-2024</t>
        </is>
      </c>
      <c r="B118" s="1" t="n">
        <v>45574</v>
      </c>
      <c r="C118" s="1" t="n">
        <v>46196</v>
      </c>
      <c r="D118" t="inlineStr">
        <is>
          <t>SKÅNE LÄN</t>
        </is>
      </c>
      <c r="E118" t="inlineStr">
        <is>
          <t>TOMELILLA</t>
        </is>
      </c>
      <c r="F118" t="inlineStr">
        <is>
          <t>Sveaskog</t>
        </is>
      </c>
      <c r="G118" t="n">
        <v>11.2</v>
      </c>
      <c r="H118" t="n">
        <v>0</v>
      </c>
      <c r="I118" t="n">
        <v>0</v>
      </c>
      <c r="J118" t="n">
        <v>0</v>
      </c>
      <c r="K118" t="n">
        <v>0</v>
      </c>
      <c r="L118" t="n">
        <v>0</v>
      </c>
      <c r="M118" t="n">
        <v>0</v>
      </c>
      <c r="N118" t="n">
        <v>0</v>
      </c>
      <c r="O118" t="n">
        <v>0</v>
      </c>
      <c r="P118" t="n">
        <v>0</v>
      </c>
      <c r="Q118" t="n">
        <v>0</v>
      </c>
      <c r="R118" s="2" t="inlineStr"/>
    </row>
    <row r="119" ht="15" customHeight="1">
      <c r="A119" t="inlineStr">
        <is>
          <t>A 26473-2024</t>
        </is>
      </c>
      <c r="B119" s="1" t="n">
        <v>45469</v>
      </c>
      <c r="C119" s="1" t="n">
        <v>46196</v>
      </c>
      <c r="D119" t="inlineStr">
        <is>
          <t>SKÅNE LÄN</t>
        </is>
      </c>
      <c r="E119" t="inlineStr">
        <is>
          <t>TOMELILLA</t>
        </is>
      </c>
      <c r="G119" t="n">
        <v>4.4</v>
      </c>
      <c r="H119" t="n">
        <v>0</v>
      </c>
      <c r="I119" t="n">
        <v>0</v>
      </c>
      <c r="J119" t="n">
        <v>0</v>
      </c>
      <c r="K119" t="n">
        <v>0</v>
      </c>
      <c r="L119" t="n">
        <v>0</v>
      </c>
      <c r="M119" t="n">
        <v>0</v>
      </c>
      <c r="N119" t="n">
        <v>0</v>
      </c>
      <c r="O119" t="n">
        <v>0</v>
      </c>
      <c r="P119" t="n">
        <v>0</v>
      </c>
      <c r="Q119" t="n">
        <v>0</v>
      </c>
      <c r="R119" s="2" t="inlineStr"/>
    </row>
    <row r="120" ht="15" customHeight="1">
      <c r="A120" t="inlineStr">
        <is>
          <t>A 51031-2023</t>
        </is>
      </c>
      <c r="B120" s="1" t="n">
        <v>45211</v>
      </c>
      <c r="C120" s="1" t="n">
        <v>46196</v>
      </c>
      <c r="D120" t="inlineStr">
        <is>
          <t>SKÅNE LÄN</t>
        </is>
      </c>
      <c r="E120" t="inlineStr">
        <is>
          <t>TOMELILLA</t>
        </is>
      </c>
      <c r="G120" t="n">
        <v>1.2</v>
      </c>
      <c r="H120" t="n">
        <v>0</v>
      </c>
      <c r="I120" t="n">
        <v>0</v>
      </c>
      <c r="J120" t="n">
        <v>0</v>
      </c>
      <c r="K120" t="n">
        <v>0</v>
      </c>
      <c r="L120" t="n">
        <v>0</v>
      </c>
      <c r="M120" t="n">
        <v>0</v>
      </c>
      <c r="N120" t="n">
        <v>0</v>
      </c>
      <c r="O120" t="n">
        <v>0</v>
      </c>
      <c r="P120" t="n">
        <v>0</v>
      </c>
      <c r="Q120" t="n">
        <v>0</v>
      </c>
      <c r="R120" s="2" t="inlineStr"/>
    </row>
    <row r="121" ht="15" customHeight="1">
      <c r="A121" t="inlineStr">
        <is>
          <t>A 7745-2025</t>
        </is>
      </c>
      <c r="B121" s="1" t="n">
        <v>45706</v>
      </c>
      <c r="C121" s="1" t="n">
        <v>46196</v>
      </c>
      <c r="D121" t="inlineStr">
        <is>
          <t>SKÅNE LÄN</t>
        </is>
      </c>
      <c r="E121" t="inlineStr">
        <is>
          <t>TOMELILLA</t>
        </is>
      </c>
      <c r="G121" t="n">
        <v>0.4</v>
      </c>
      <c r="H121" t="n">
        <v>0</v>
      </c>
      <c r="I121" t="n">
        <v>0</v>
      </c>
      <c r="J121" t="n">
        <v>0</v>
      </c>
      <c r="K121" t="n">
        <v>0</v>
      </c>
      <c r="L121" t="n">
        <v>0</v>
      </c>
      <c r="M121" t="n">
        <v>0</v>
      </c>
      <c r="N121" t="n">
        <v>0</v>
      </c>
      <c r="O121" t="n">
        <v>0</v>
      </c>
      <c r="P121" t="n">
        <v>0</v>
      </c>
      <c r="Q121" t="n">
        <v>0</v>
      </c>
      <c r="R121" s="2" t="inlineStr"/>
    </row>
    <row r="122" ht="15" customHeight="1">
      <c r="A122" t="inlineStr">
        <is>
          <t>A 5565-2024</t>
        </is>
      </c>
      <c r="B122" s="1" t="n">
        <v>45334</v>
      </c>
      <c r="C122" s="1" t="n">
        <v>46196</v>
      </c>
      <c r="D122" t="inlineStr">
        <is>
          <t>SKÅNE LÄN</t>
        </is>
      </c>
      <c r="E122" t="inlineStr">
        <is>
          <t>TOMELILLA</t>
        </is>
      </c>
      <c r="G122" t="n">
        <v>2.9</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v>
      </c>
      <c r="C123" s="1" t="n">
        <v>46196</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46196</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55676-2022</t>
        </is>
      </c>
      <c r="B125" s="1" t="n">
        <v>44888</v>
      </c>
      <c r="C125" s="1" t="n">
        <v>46196</v>
      </c>
      <c r="D125" t="inlineStr">
        <is>
          <t>SKÅNE LÄN</t>
        </is>
      </c>
      <c r="E125" t="inlineStr">
        <is>
          <t>TOMELILLA</t>
        </is>
      </c>
      <c r="G125" t="n">
        <v>1</v>
      </c>
      <c r="H125" t="n">
        <v>0</v>
      </c>
      <c r="I125" t="n">
        <v>0</v>
      </c>
      <c r="J125" t="n">
        <v>0</v>
      </c>
      <c r="K125" t="n">
        <v>0</v>
      </c>
      <c r="L125" t="n">
        <v>0</v>
      </c>
      <c r="M125" t="n">
        <v>0</v>
      </c>
      <c r="N125" t="n">
        <v>0</v>
      </c>
      <c r="O125" t="n">
        <v>0</v>
      </c>
      <c r="P125" t="n">
        <v>0</v>
      </c>
      <c r="Q125" t="n">
        <v>0</v>
      </c>
      <c r="R125" s="2" t="inlineStr"/>
    </row>
    <row r="126" ht="15" customHeight="1">
      <c r="A126" t="inlineStr">
        <is>
          <t>A 8455-2024</t>
        </is>
      </c>
      <c r="B126" s="1" t="n">
        <v>45354</v>
      </c>
      <c r="C126" s="1" t="n">
        <v>46196</v>
      </c>
      <c r="D126" t="inlineStr">
        <is>
          <t>SKÅNE LÄN</t>
        </is>
      </c>
      <c r="E126" t="inlineStr">
        <is>
          <t>TOMELILLA</t>
        </is>
      </c>
      <c r="F126" t="inlineStr">
        <is>
          <t>Övriga Aktiebolag</t>
        </is>
      </c>
      <c r="G126" t="n">
        <v>5.1</v>
      </c>
      <c r="H126" t="n">
        <v>0</v>
      </c>
      <c r="I126" t="n">
        <v>0</v>
      </c>
      <c r="J126" t="n">
        <v>0</v>
      </c>
      <c r="K126" t="n">
        <v>0</v>
      </c>
      <c r="L126" t="n">
        <v>0</v>
      </c>
      <c r="M126" t="n">
        <v>0</v>
      </c>
      <c r="N126" t="n">
        <v>0</v>
      </c>
      <c r="O126" t="n">
        <v>0</v>
      </c>
      <c r="P126" t="n">
        <v>0</v>
      </c>
      <c r="Q126" t="n">
        <v>0</v>
      </c>
      <c r="R126" s="2" t="inlineStr"/>
    </row>
    <row r="127" ht="15" customHeight="1">
      <c r="A127" t="inlineStr">
        <is>
          <t>A 16027-2022</t>
        </is>
      </c>
      <c r="B127" s="1" t="n">
        <v>44665</v>
      </c>
      <c r="C127" s="1" t="n">
        <v>46196</v>
      </c>
      <c r="D127" t="inlineStr">
        <is>
          <t>SKÅNE LÄN</t>
        </is>
      </c>
      <c r="E127" t="inlineStr">
        <is>
          <t>TOMELILLA</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35142-2021</t>
        </is>
      </c>
      <c r="B128" s="1" t="n">
        <v>44384</v>
      </c>
      <c r="C128" s="1" t="n">
        <v>46196</v>
      </c>
      <c r="D128" t="inlineStr">
        <is>
          <t>SKÅNE LÄN</t>
        </is>
      </c>
      <c r="E128" t="inlineStr">
        <is>
          <t>TOMELILLA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23496-2024</t>
        </is>
      </c>
      <c r="B129" s="1" t="n">
        <v>45453</v>
      </c>
      <c r="C129" s="1" t="n">
        <v>46196</v>
      </c>
      <c r="D129" t="inlineStr">
        <is>
          <t>SKÅNE LÄN</t>
        </is>
      </c>
      <c r="E129" t="inlineStr">
        <is>
          <t>TOMELILLA</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4651-2024</t>
        </is>
      </c>
      <c r="B130" s="1" t="n">
        <v>45328</v>
      </c>
      <c r="C130" s="1" t="n">
        <v>46196</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12988-2024</t>
        </is>
      </c>
      <c r="B131" s="1" t="n">
        <v>45385</v>
      </c>
      <c r="C131" s="1" t="n">
        <v>46196</v>
      </c>
      <c r="D131" t="inlineStr">
        <is>
          <t>SKÅNE LÄN</t>
        </is>
      </c>
      <c r="E131" t="inlineStr">
        <is>
          <t>TOMELILLA</t>
        </is>
      </c>
      <c r="F131" t="inlineStr">
        <is>
          <t>Övriga Aktiebolag</t>
        </is>
      </c>
      <c r="G131" t="n">
        <v>16.2</v>
      </c>
      <c r="H131" t="n">
        <v>0</v>
      </c>
      <c r="I131" t="n">
        <v>0</v>
      </c>
      <c r="J131" t="n">
        <v>0</v>
      </c>
      <c r="K131" t="n">
        <v>0</v>
      </c>
      <c r="L131" t="n">
        <v>0</v>
      </c>
      <c r="M131" t="n">
        <v>0</v>
      </c>
      <c r="N131" t="n">
        <v>0</v>
      </c>
      <c r="O131" t="n">
        <v>0</v>
      </c>
      <c r="P131" t="n">
        <v>0</v>
      </c>
      <c r="Q131" t="n">
        <v>0</v>
      </c>
      <c r="R131" s="2" t="inlineStr"/>
    </row>
    <row r="132" ht="15" customHeight="1">
      <c r="A132" t="inlineStr">
        <is>
          <t>A 15305-2025</t>
        </is>
      </c>
      <c r="B132" s="1" t="n">
        <v>45746</v>
      </c>
      <c r="C132" s="1" t="n">
        <v>46196</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v>
      </c>
      <c r="C133" s="1" t="n">
        <v>46196</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46196</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12310-2023</t>
        </is>
      </c>
      <c r="B135" s="1" t="n">
        <v>44999</v>
      </c>
      <c r="C135" s="1" t="n">
        <v>46196</v>
      </c>
      <c r="D135" t="inlineStr">
        <is>
          <t>SKÅNE LÄN</t>
        </is>
      </c>
      <c r="E135" t="inlineStr">
        <is>
          <t>TOMELILLA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15921-2025</t>
        </is>
      </c>
      <c r="B136" s="1" t="n">
        <v>45749</v>
      </c>
      <c r="C136" s="1" t="n">
        <v>46196</v>
      </c>
      <c r="D136" t="inlineStr">
        <is>
          <t>SKÅNE LÄN</t>
        </is>
      </c>
      <c r="E136" t="inlineStr">
        <is>
          <t>TOMELILLA</t>
        </is>
      </c>
      <c r="G136" t="n">
        <v>2.8</v>
      </c>
      <c r="H136" t="n">
        <v>0</v>
      </c>
      <c r="I136" t="n">
        <v>0</v>
      </c>
      <c r="J136" t="n">
        <v>0</v>
      </c>
      <c r="K136" t="n">
        <v>0</v>
      </c>
      <c r="L136" t="n">
        <v>0</v>
      </c>
      <c r="M136" t="n">
        <v>0</v>
      </c>
      <c r="N136" t="n">
        <v>0</v>
      </c>
      <c r="O136" t="n">
        <v>0</v>
      </c>
      <c r="P136" t="n">
        <v>0</v>
      </c>
      <c r="Q136" t="n">
        <v>0</v>
      </c>
      <c r="R136" s="2" t="inlineStr"/>
    </row>
    <row r="137" ht="15" customHeight="1">
      <c r="A137" t="inlineStr">
        <is>
          <t>A 35742-2024</t>
        </is>
      </c>
      <c r="B137" s="1" t="n">
        <v>45532</v>
      </c>
      <c r="C137" s="1" t="n">
        <v>46196</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c r="A138" t="inlineStr">
        <is>
          <t>A 35715-2024</t>
        </is>
      </c>
      <c r="B138" s="1" t="n">
        <v>45532</v>
      </c>
      <c r="C138" s="1" t="n">
        <v>46196</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2026-06-23T04:34:28Z</dcterms:created>
  <dcterms:modified xmlns:dcterms="http://purl.org/dc/terms/" xmlns:xsi="http://www.w3.org/2001/XMLSchema-instance" xsi:type="dcterms:W3CDTF">2026-06-23T04:34:28Z</dcterms:modified>
</cp:coreProperties>
</file>