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45345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2</v>
      </c>
      <c r="L2" t="n">
        <v>2</v>
      </c>
      <c r="M2" t="n">
        <v>0</v>
      </c>
      <c r="N2" t="n">
        <v>0</v>
      </c>
      <c r="O2" t="n">
        <v>10</v>
      </c>
      <c r="P2" t="n">
        <v>4</v>
      </c>
      <c r="Q2" t="n">
        <v>15</v>
      </c>
      <c r="R2" s="2" t="inlineStr">
        <is>
          <t>Ask
Askvårtlav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45345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45345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45345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3218-2019</t>
        </is>
      </c>
      <c r="B6" s="1" t="n">
        <v>43480</v>
      </c>
      <c r="C6" s="1" t="n">
        <v>45345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7.5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Vit stork</t>
        </is>
      </c>
      <c r="S6">
        <f>HYPERLINK("https://klasma.github.io/Logging_1270/artfynd/A 3218-2019 artfynd.xlsx", "A 3218-2019")</f>
        <v/>
      </c>
      <c r="T6">
        <f>HYPERLINK("https://klasma.github.io/Logging_1270/kartor/A 3218-2019 karta.png", "A 3218-2019")</f>
        <v/>
      </c>
      <c r="V6">
        <f>HYPERLINK("https://klasma.github.io/Logging_1270/klagomål/A 3218-2019 FSC-klagomål.docx", "A 3218-2019")</f>
        <v/>
      </c>
      <c r="W6">
        <f>HYPERLINK("https://klasma.github.io/Logging_1270/klagomålsmail/A 3218-2019 FSC-klagomål mail.docx", "A 3218-2019")</f>
        <v/>
      </c>
      <c r="X6">
        <f>HYPERLINK("https://klasma.github.io/Logging_1270/tillsyn/A 3218-2019 tillsynsbegäran.docx", "A 3218-2019")</f>
        <v/>
      </c>
      <c r="Y6">
        <f>HYPERLINK("https://klasma.github.io/Logging_1270/tillsynsmail/A 3218-2019 tillsynsbegäran mail.docx", "A 3218-2019")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45345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45345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45345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45345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45345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45345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45345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40099-2018</t>
        </is>
      </c>
      <c r="B14" s="1" t="n">
        <v>43343</v>
      </c>
      <c r="C14" s="1" t="n">
        <v>45345</v>
      </c>
      <c r="D14" t="inlineStr">
        <is>
          <t>SKÅNE LÄN</t>
        </is>
      </c>
      <c r="E14" t="inlineStr">
        <is>
          <t>TOMELILLA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2677-2019</t>
        </is>
      </c>
      <c r="B15" s="1" t="n">
        <v>43479</v>
      </c>
      <c r="C15" s="1" t="n">
        <v>45345</v>
      </c>
      <c r="D15" t="inlineStr">
        <is>
          <t>SKÅNE LÄN</t>
        </is>
      </c>
      <c r="E15" t="inlineStr">
        <is>
          <t>TOMELILLA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9292-2019</t>
        </is>
      </c>
      <c r="B16" s="1" t="n">
        <v>43507</v>
      </c>
      <c r="C16" s="1" t="n">
        <v>45345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10050-2019</t>
        </is>
      </c>
      <c r="B17" s="1" t="n">
        <v>43510</v>
      </c>
      <c r="C17" s="1" t="n">
        <v>45345</v>
      </c>
      <c r="D17" t="inlineStr">
        <is>
          <t>SKÅNE LÄN</t>
        </is>
      </c>
      <c r="E17" t="inlineStr">
        <is>
          <t>TOMELILLA</t>
        </is>
      </c>
      <c r="F17" t="inlineStr">
        <is>
          <t>Övriga Aktiebolag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15762-2019</t>
        </is>
      </c>
      <c r="B18" s="1" t="n">
        <v>43542</v>
      </c>
      <c r="C18" s="1" t="n">
        <v>45345</v>
      </c>
      <c r="D18" t="inlineStr">
        <is>
          <t>SKÅNE LÄN</t>
        </is>
      </c>
      <c r="E18" t="inlineStr">
        <is>
          <t>TOMELILLA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17937-2019</t>
        </is>
      </c>
      <c r="B19" s="1" t="n">
        <v>43553</v>
      </c>
      <c r="C19" s="1" t="n">
        <v>45345</v>
      </c>
      <c r="D19" t="inlineStr">
        <is>
          <t>SKÅNE LÄN</t>
        </is>
      </c>
      <c r="E19" t="inlineStr">
        <is>
          <t>TOMELILLA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26916-2019</t>
        </is>
      </c>
      <c r="B20" s="1" t="n">
        <v>43609</v>
      </c>
      <c r="C20" s="1" t="n">
        <v>45345</v>
      </c>
      <c r="D20" t="inlineStr">
        <is>
          <t>SKÅNE LÄN</t>
        </is>
      </c>
      <c r="E20" t="inlineStr">
        <is>
          <t>TOMELILLA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26661-2019</t>
        </is>
      </c>
      <c r="B21" s="1" t="n">
        <v>43613</v>
      </c>
      <c r="C21" s="1" t="n">
        <v>45345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28655-2019</t>
        </is>
      </c>
      <c r="B22" s="1" t="n">
        <v>43614</v>
      </c>
      <c r="C22" s="1" t="n">
        <v>45345</v>
      </c>
      <c r="D22" t="inlineStr">
        <is>
          <t>SKÅNE LÄN</t>
        </is>
      </c>
      <c r="E22" t="inlineStr">
        <is>
          <t>TOMELILLA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29577-2019</t>
        </is>
      </c>
      <c r="B23" s="1" t="n">
        <v>43630</v>
      </c>
      <c r="C23" s="1" t="n">
        <v>45345</v>
      </c>
      <c r="D23" t="inlineStr">
        <is>
          <t>SKÅNE LÄN</t>
        </is>
      </c>
      <c r="E23" t="inlineStr">
        <is>
          <t>TOMELILLA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29799-2019</t>
        </is>
      </c>
      <c r="B24" s="1" t="n">
        <v>43633</v>
      </c>
      <c r="C24" s="1" t="n">
        <v>45345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39212-2019</t>
        </is>
      </c>
      <c r="B25" s="1" t="n">
        <v>43686</v>
      </c>
      <c r="C25" s="1" t="n">
        <v>45345</v>
      </c>
      <c r="D25" t="inlineStr">
        <is>
          <t>SKÅNE LÄN</t>
        </is>
      </c>
      <c r="E25" t="inlineStr">
        <is>
          <t>TOMELILLA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39884-2019</t>
        </is>
      </c>
      <c r="B26" s="1" t="n">
        <v>43692</v>
      </c>
      <c r="C26" s="1" t="n">
        <v>45345</v>
      </c>
      <c r="D26" t="inlineStr">
        <is>
          <t>SKÅNE LÄN</t>
        </is>
      </c>
      <c r="E26" t="inlineStr">
        <is>
          <t>TOMELILLA</t>
        </is>
      </c>
      <c r="F26" t="inlineStr">
        <is>
          <t>Övriga Aktiebolag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45617-2019</t>
        </is>
      </c>
      <c r="B27" s="1" t="n">
        <v>43717</v>
      </c>
      <c r="C27" s="1" t="n">
        <v>45345</v>
      </c>
      <c r="D27" t="inlineStr">
        <is>
          <t>SKÅNE LÄN</t>
        </is>
      </c>
      <c r="E27" t="inlineStr">
        <is>
          <t>TOMELILLA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46097-2019</t>
        </is>
      </c>
      <c r="B28" s="1" t="n">
        <v>43718</v>
      </c>
      <c r="C28" s="1" t="n">
        <v>45345</v>
      </c>
      <c r="D28" t="inlineStr">
        <is>
          <t>SKÅNE LÄN</t>
        </is>
      </c>
      <c r="E28" t="inlineStr">
        <is>
          <t>TOMELILLA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8579-2020</t>
        </is>
      </c>
      <c r="B29" s="1" t="n">
        <v>43875</v>
      </c>
      <c r="C29" s="1" t="n">
        <v>45345</v>
      </c>
      <c r="D29" t="inlineStr">
        <is>
          <t>SKÅNE LÄN</t>
        </is>
      </c>
      <c r="E29" t="inlineStr">
        <is>
          <t>TOMELILLA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18516-2020</t>
        </is>
      </c>
      <c r="B30" s="1" t="n">
        <v>43929</v>
      </c>
      <c r="C30" s="1" t="n">
        <v>45345</v>
      </c>
      <c r="D30" t="inlineStr">
        <is>
          <t>SKÅNE LÄN</t>
        </is>
      </c>
      <c r="E30" t="inlineStr">
        <is>
          <t>TOMELILLA</t>
        </is>
      </c>
      <c r="F30" t="inlineStr">
        <is>
          <t>Övriga Aktiebolag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20948-2020</t>
        </is>
      </c>
      <c r="B31" s="1" t="n">
        <v>43949</v>
      </c>
      <c r="C31" s="1" t="n">
        <v>45345</v>
      </c>
      <c r="D31" t="inlineStr">
        <is>
          <t>SKÅNE LÄN</t>
        </is>
      </c>
      <c r="E31" t="inlineStr">
        <is>
          <t>TOMELILLA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23513-2020</t>
        </is>
      </c>
      <c r="B32" s="1" t="n">
        <v>43969</v>
      </c>
      <c r="C32" s="1" t="n">
        <v>45345</v>
      </c>
      <c r="D32" t="inlineStr">
        <is>
          <t>SKÅNE LÄN</t>
        </is>
      </c>
      <c r="E32" t="inlineStr">
        <is>
          <t>TOMELILLA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25171-2020</t>
        </is>
      </c>
      <c r="B33" s="1" t="n">
        <v>43978</v>
      </c>
      <c r="C33" s="1" t="n">
        <v>45345</v>
      </c>
      <c r="D33" t="inlineStr">
        <is>
          <t>SKÅNE LÄN</t>
        </is>
      </c>
      <c r="E33" t="inlineStr">
        <is>
          <t>TOMELILLA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24991-2020</t>
        </is>
      </c>
      <c r="B34" s="1" t="n">
        <v>43978</v>
      </c>
      <c r="C34" s="1" t="n">
        <v>45345</v>
      </c>
      <c r="D34" t="inlineStr">
        <is>
          <t>SKÅNE LÄN</t>
        </is>
      </c>
      <c r="E34" t="inlineStr">
        <is>
          <t>TOMELILLA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28338-2020</t>
        </is>
      </c>
      <c r="B35" s="1" t="n">
        <v>43998</v>
      </c>
      <c r="C35" s="1" t="n">
        <v>45345</v>
      </c>
      <c r="D35" t="inlineStr">
        <is>
          <t>SKÅNE LÄN</t>
        </is>
      </c>
      <c r="E35" t="inlineStr">
        <is>
          <t>TOMELILLA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30515-2020</t>
        </is>
      </c>
      <c r="B36" s="1" t="n">
        <v>44008</v>
      </c>
      <c r="C36" s="1" t="n">
        <v>45345</v>
      </c>
      <c r="D36" t="inlineStr">
        <is>
          <t>SKÅNE LÄN</t>
        </is>
      </c>
      <c r="E36" t="inlineStr">
        <is>
          <t>TOMELILLA</t>
        </is>
      </c>
      <c r="F36" t="inlineStr">
        <is>
          <t>Övriga Aktiebolag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31165-2020</t>
        </is>
      </c>
      <c r="B37" s="1" t="n">
        <v>44011</v>
      </c>
      <c r="C37" s="1" t="n">
        <v>45345</v>
      </c>
      <c r="D37" t="inlineStr">
        <is>
          <t>SKÅNE LÄN</t>
        </is>
      </c>
      <c r="E37" t="inlineStr">
        <is>
          <t>TOMELILLA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31172-2020</t>
        </is>
      </c>
      <c r="B38" s="1" t="n">
        <v>44011</v>
      </c>
      <c r="C38" s="1" t="n">
        <v>45345</v>
      </c>
      <c r="D38" t="inlineStr">
        <is>
          <t>SKÅNE LÄN</t>
        </is>
      </c>
      <c r="E38" t="inlineStr">
        <is>
          <t>TOMELILLA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52023-2020</t>
        </is>
      </c>
      <c r="B39" s="1" t="n">
        <v>44116</v>
      </c>
      <c r="C39" s="1" t="n">
        <v>45345</v>
      </c>
      <c r="D39" t="inlineStr">
        <is>
          <t>SKÅNE LÄN</t>
        </is>
      </c>
      <c r="E39" t="inlineStr">
        <is>
          <t>TOMELILLA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52496-2020</t>
        </is>
      </c>
      <c r="B40" s="1" t="n">
        <v>44116</v>
      </c>
      <c r="C40" s="1" t="n">
        <v>45345</v>
      </c>
      <c r="D40" t="inlineStr">
        <is>
          <t>SKÅNE LÄN</t>
        </is>
      </c>
      <c r="E40" t="inlineStr">
        <is>
          <t>TOMELILLA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56462-2020</t>
        </is>
      </c>
      <c r="B41" s="1" t="n">
        <v>44133</v>
      </c>
      <c r="C41" s="1" t="n">
        <v>45345</v>
      </c>
      <c r="D41" t="inlineStr">
        <is>
          <t>SKÅNE LÄN</t>
        </is>
      </c>
      <c r="E41" t="inlineStr">
        <is>
          <t>TOMELILLA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65033-2020</t>
        </is>
      </c>
      <c r="B42" s="1" t="n">
        <v>44172</v>
      </c>
      <c r="C42" s="1" t="n">
        <v>45345</v>
      </c>
      <c r="D42" t="inlineStr">
        <is>
          <t>SKÅNE LÄN</t>
        </is>
      </c>
      <c r="E42" t="inlineStr">
        <is>
          <t>TOMELILLA</t>
        </is>
      </c>
      <c r="F42" t="inlineStr">
        <is>
          <t>Kyrkan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66045-2020</t>
        </is>
      </c>
      <c r="B43" s="1" t="n">
        <v>44175</v>
      </c>
      <c r="C43" s="1" t="n">
        <v>45345</v>
      </c>
      <c r="D43" t="inlineStr">
        <is>
          <t>SKÅNE LÄN</t>
        </is>
      </c>
      <c r="E43" t="inlineStr">
        <is>
          <t>TOMELILLA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1428-2021</t>
        </is>
      </c>
      <c r="B44" s="1" t="n">
        <v>44208</v>
      </c>
      <c r="C44" s="1" t="n">
        <v>45345</v>
      </c>
      <c r="D44" t="inlineStr">
        <is>
          <t>SKÅNE LÄN</t>
        </is>
      </c>
      <c r="E44" t="inlineStr">
        <is>
          <t>TOMELILLA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9238-2021</t>
        </is>
      </c>
      <c r="B45" s="1" t="n">
        <v>44250</v>
      </c>
      <c r="C45" s="1" t="n">
        <v>45345</v>
      </c>
      <c r="D45" t="inlineStr">
        <is>
          <t>SKÅNE LÄN</t>
        </is>
      </c>
      <c r="E45" t="inlineStr">
        <is>
          <t>TOMELILLA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9180-2021</t>
        </is>
      </c>
      <c r="B46" s="1" t="n">
        <v>44250</v>
      </c>
      <c r="C46" s="1" t="n">
        <v>45345</v>
      </c>
      <c r="D46" t="inlineStr">
        <is>
          <t>SKÅNE LÄN</t>
        </is>
      </c>
      <c r="E46" t="inlineStr">
        <is>
          <t>TOMELILLA</t>
        </is>
      </c>
      <c r="F46" t="inlineStr">
        <is>
          <t>Övriga Aktiebolag</t>
        </is>
      </c>
      <c r="G46" t="n">
        <v>11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9510-2021</t>
        </is>
      </c>
      <c r="B47" s="1" t="n">
        <v>44251</v>
      </c>
      <c r="C47" s="1" t="n">
        <v>45345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11919-2021</t>
        </is>
      </c>
      <c r="B48" s="1" t="n">
        <v>44266</v>
      </c>
      <c r="C48" s="1" t="n">
        <v>45345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13208-2021</t>
        </is>
      </c>
      <c r="B49" s="1" t="n">
        <v>44272</v>
      </c>
      <c r="C49" s="1" t="n">
        <v>45345</v>
      </c>
      <c r="D49" t="inlineStr">
        <is>
          <t>SKÅNE LÄN</t>
        </is>
      </c>
      <c r="E49" t="inlineStr">
        <is>
          <t>TOMELILLA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15288-2021</t>
        </is>
      </c>
      <c r="B50" s="1" t="n">
        <v>44284</v>
      </c>
      <c r="C50" s="1" t="n">
        <v>45345</v>
      </c>
      <c r="D50" t="inlineStr">
        <is>
          <t>SKÅNE LÄN</t>
        </is>
      </c>
      <c r="E50" t="inlineStr">
        <is>
          <t>TOMELILLA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17205-2021</t>
        </is>
      </c>
      <c r="B51" s="1" t="n">
        <v>44298</v>
      </c>
      <c r="C51" s="1" t="n">
        <v>45345</v>
      </c>
      <c r="D51" t="inlineStr">
        <is>
          <t>SKÅNE LÄN</t>
        </is>
      </c>
      <c r="E51" t="inlineStr">
        <is>
          <t>TOMELILLA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18472-2021</t>
        </is>
      </c>
      <c r="B52" s="1" t="n">
        <v>44306</v>
      </c>
      <c r="C52" s="1" t="n">
        <v>45345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21245-2021</t>
        </is>
      </c>
      <c r="B53" s="1" t="n">
        <v>44320</v>
      </c>
      <c r="C53" s="1" t="n">
        <v>45345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25899-2021</t>
        </is>
      </c>
      <c r="B54" s="1" t="n">
        <v>44344</v>
      </c>
      <c r="C54" s="1" t="n">
        <v>45345</v>
      </c>
      <c r="D54" t="inlineStr">
        <is>
          <t>SKÅNE LÄN</t>
        </is>
      </c>
      <c r="E54" t="inlineStr">
        <is>
          <t>TOMELILLA</t>
        </is>
      </c>
      <c r="F54" t="inlineStr">
        <is>
          <t>Övriga Aktiebolag</t>
        </is>
      </c>
      <c r="G54" t="n">
        <v>14.8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28131-2021</t>
        </is>
      </c>
      <c r="B55" s="1" t="n">
        <v>44355</v>
      </c>
      <c r="C55" s="1" t="n">
        <v>45345</v>
      </c>
      <c r="D55" t="inlineStr">
        <is>
          <t>SKÅNE LÄN</t>
        </is>
      </c>
      <c r="E55" t="inlineStr">
        <is>
          <t>TOMELILLA</t>
        </is>
      </c>
      <c r="F55" t="inlineStr">
        <is>
          <t>Övriga Aktiebolag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35142-2021</t>
        </is>
      </c>
      <c r="B56" s="1" t="n">
        <v>44384</v>
      </c>
      <c r="C56" s="1" t="n">
        <v>45345</v>
      </c>
      <c r="D56" t="inlineStr">
        <is>
          <t>SKÅNE LÄN</t>
        </is>
      </c>
      <c r="E56" t="inlineStr">
        <is>
          <t>TOMELILLA</t>
        </is>
      </c>
      <c r="F56" t="inlineStr">
        <is>
          <t>Övriga Aktiebolag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35140-2021</t>
        </is>
      </c>
      <c r="B57" s="1" t="n">
        <v>44384</v>
      </c>
      <c r="C57" s="1" t="n">
        <v>45345</v>
      </c>
      <c r="D57" t="inlineStr">
        <is>
          <t>SKÅNE LÄN</t>
        </is>
      </c>
      <c r="E57" t="inlineStr">
        <is>
          <t>TOMELILLA</t>
        </is>
      </c>
      <c r="F57" t="inlineStr">
        <is>
          <t>Övriga Aktiebolag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35133-2021</t>
        </is>
      </c>
      <c r="B58" s="1" t="n">
        <v>44384</v>
      </c>
      <c r="C58" s="1" t="n">
        <v>45345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59131-2021</t>
        </is>
      </c>
      <c r="B59" s="1" t="n">
        <v>44490</v>
      </c>
      <c r="C59" s="1" t="n">
        <v>45345</v>
      </c>
      <c r="D59" t="inlineStr">
        <is>
          <t>SKÅNE LÄN</t>
        </is>
      </c>
      <c r="E59" t="inlineStr">
        <is>
          <t>TOMELILLA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74408-2021</t>
        </is>
      </c>
      <c r="B60" s="1" t="n">
        <v>44560</v>
      </c>
      <c r="C60" s="1" t="n">
        <v>45345</v>
      </c>
      <c r="D60" t="inlineStr">
        <is>
          <t>SKÅNE LÄN</t>
        </is>
      </c>
      <c r="E60" t="inlineStr">
        <is>
          <t>TOMELILLA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2193-2022</t>
        </is>
      </c>
      <c r="B61" s="1" t="n">
        <v>44578</v>
      </c>
      <c r="C61" s="1" t="n">
        <v>45345</v>
      </c>
      <c r="D61" t="inlineStr">
        <is>
          <t>SKÅNE LÄN</t>
        </is>
      </c>
      <c r="E61" t="inlineStr">
        <is>
          <t>TOMELILLA</t>
        </is>
      </c>
      <c r="F61" t="inlineStr">
        <is>
          <t>Sveaskog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2190-2022</t>
        </is>
      </c>
      <c r="B62" s="1" t="n">
        <v>44578</v>
      </c>
      <c r="C62" s="1" t="n">
        <v>45345</v>
      </c>
      <c r="D62" t="inlineStr">
        <is>
          <t>SKÅNE LÄN</t>
        </is>
      </c>
      <c r="E62" t="inlineStr">
        <is>
          <t>TOMELILLA</t>
        </is>
      </c>
      <c r="F62" t="inlineStr">
        <is>
          <t>Sveaskog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8700-2022</t>
        </is>
      </c>
      <c r="B63" s="1" t="n">
        <v>44613</v>
      </c>
      <c r="C63" s="1" t="n">
        <v>45345</v>
      </c>
      <c r="D63" t="inlineStr">
        <is>
          <t>SKÅNE LÄN</t>
        </is>
      </c>
      <c r="E63" t="inlineStr">
        <is>
          <t>TOMELILLA</t>
        </is>
      </c>
      <c r="F63" t="inlineStr">
        <is>
          <t>Övriga Aktiebolag</t>
        </is>
      </c>
      <c r="G63" t="n">
        <v>9.800000000000001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12663-2022</t>
        </is>
      </c>
      <c r="B64" s="1" t="n">
        <v>44641</v>
      </c>
      <c r="C64" s="1" t="n">
        <v>45345</v>
      </c>
      <c r="D64" t="inlineStr">
        <is>
          <t>SKÅNE LÄN</t>
        </is>
      </c>
      <c r="E64" t="inlineStr">
        <is>
          <t>TOMELILLA</t>
        </is>
      </c>
      <c r="F64" t="inlineStr">
        <is>
          <t>Övriga Aktiebolag</t>
        </is>
      </c>
      <c r="G64" t="n">
        <v>12.4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12919-2022</t>
        </is>
      </c>
      <c r="B65" s="1" t="n">
        <v>44642</v>
      </c>
      <c r="C65" s="1" t="n">
        <v>45345</v>
      </c>
      <c r="D65" t="inlineStr">
        <is>
          <t>SKÅNE LÄN</t>
        </is>
      </c>
      <c r="E65" t="inlineStr">
        <is>
          <t>TOMELILLA</t>
        </is>
      </c>
      <c r="F65" t="inlineStr">
        <is>
          <t>Övriga Aktiebolag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15197-2022</t>
        </is>
      </c>
      <c r="B66" s="1" t="n">
        <v>44658</v>
      </c>
      <c r="C66" s="1" t="n">
        <v>45345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16027-2022</t>
        </is>
      </c>
      <c r="B67" s="1" t="n">
        <v>44665</v>
      </c>
      <c r="C67" s="1" t="n">
        <v>45345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18158-2022</t>
        </is>
      </c>
      <c r="B68" s="1" t="n">
        <v>44684</v>
      </c>
      <c r="C68" s="1" t="n">
        <v>45345</v>
      </c>
      <c r="D68" t="inlineStr">
        <is>
          <t>SKÅNE LÄN</t>
        </is>
      </c>
      <c r="E68" t="inlineStr">
        <is>
          <t>TOMELILLA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19651-2022</t>
        </is>
      </c>
      <c r="B69" s="1" t="n">
        <v>44694</v>
      </c>
      <c r="C69" s="1" t="n">
        <v>45345</v>
      </c>
      <c r="D69" t="inlineStr">
        <is>
          <t>SKÅNE LÄN</t>
        </is>
      </c>
      <c r="E69" t="inlineStr">
        <is>
          <t>TOMELILLA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20193-2022</t>
        </is>
      </c>
      <c r="B70" s="1" t="n">
        <v>44698</v>
      </c>
      <c r="C70" s="1" t="n">
        <v>45345</v>
      </c>
      <c r="D70" t="inlineStr">
        <is>
          <t>SKÅNE LÄN</t>
        </is>
      </c>
      <c r="E70" t="inlineStr">
        <is>
          <t>TOMELILLA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23310-2022</t>
        </is>
      </c>
      <c r="B71" s="1" t="n">
        <v>44720</v>
      </c>
      <c r="C71" s="1" t="n">
        <v>45345</v>
      </c>
      <c r="D71" t="inlineStr">
        <is>
          <t>SKÅNE LÄN</t>
        </is>
      </c>
      <c r="E71" t="inlineStr">
        <is>
          <t>TOMELILLA</t>
        </is>
      </c>
      <c r="F71" t="inlineStr">
        <is>
          <t>Övriga Aktiebolag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23461-2022</t>
        </is>
      </c>
      <c r="B72" s="1" t="n">
        <v>44721</v>
      </c>
      <c r="C72" s="1" t="n">
        <v>45345</v>
      </c>
      <c r="D72" t="inlineStr">
        <is>
          <t>SKÅNE LÄN</t>
        </is>
      </c>
      <c r="E72" t="inlineStr">
        <is>
          <t>TOMELILLA</t>
        </is>
      </c>
      <c r="F72" t="inlineStr">
        <is>
          <t>Övriga Aktiebolag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28966-2022</t>
        </is>
      </c>
      <c r="B73" s="1" t="n">
        <v>44749</v>
      </c>
      <c r="C73" s="1" t="n">
        <v>45345</v>
      </c>
      <c r="D73" t="inlineStr">
        <is>
          <t>SKÅNE LÄN</t>
        </is>
      </c>
      <c r="E73" t="inlineStr">
        <is>
          <t>TOMELILLA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42387-2022</t>
        </is>
      </c>
      <c r="B74" s="1" t="n">
        <v>44830</v>
      </c>
      <c r="C74" s="1" t="n">
        <v>45345</v>
      </c>
      <c r="D74" t="inlineStr">
        <is>
          <t>SKÅNE LÄN</t>
        </is>
      </c>
      <c r="E74" t="inlineStr">
        <is>
          <t>TOMELILLA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53977-2022</t>
        </is>
      </c>
      <c r="B75" s="1" t="n">
        <v>44876</v>
      </c>
      <c r="C75" s="1" t="n">
        <v>45345</v>
      </c>
      <c r="D75" t="inlineStr">
        <is>
          <t>SKÅNE LÄN</t>
        </is>
      </c>
      <c r="E75" t="inlineStr">
        <is>
          <t>TOMELILLA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55676-2022</t>
        </is>
      </c>
      <c r="B76" s="1" t="n">
        <v>44888</v>
      </c>
      <c r="C76" s="1" t="n">
        <v>45345</v>
      </c>
      <c r="D76" t="inlineStr">
        <is>
          <t>SKÅNE LÄN</t>
        </is>
      </c>
      <c r="E76" t="inlineStr">
        <is>
          <t>TOMELILLA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58582-2022</t>
        </is>
      </c>
      <c r="B77" s="1" t="n">
        <v>44902</v>
      </c>
      <c r="C77" s="1" t="n">
        <v>45345</v>
      </c>
      <c r="D77" t="inlineStr">
        <is>
          <t>SKÅNE LÄN</t>
        </is>
      </c>
      <c r="E77" t="inlineStr">
        <is>
          <t>TOMELILLA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59528-2022</t>
        </is>
      </c>
      <c r="B78" s="1" t="n">
        <v>44907</v>
      </c>
      <c r="C78" s="1" t="n">
        <v>45345</v>
      </c>
      <c r="D78" t="inlineStr">
        <is>
          <t>SKÅNE LÄN</t>
        </is>
      </c>
      <c r="E78" t="inlineStr">
        <is>
          <t>TOMELILLA</t>
        </is>
      </c>
      <c r="F78" t="inlineStr">
        <is>
          <t>Övriga Aktiebolag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4677-2023</t>
        </is>
      </c>
      <c r="B79" s="1" t="n">
        <v>44952</v>
      </c>
      <c r="C79" s="1" t="n">
        <v>45345</v>
      </c>
      <c r="D79" t="inlineStr">
        <is>
          <t>SKÅNE LÄN</t>
        </is>
      </c>
      <c r="E79" t="inlineStr">
        <is>
          <t>TOMELILLA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10272-2023</t>
        </is>
      </c>
      <c r="B80" s="1" t="n">
        <v>44986</v>
      </c>
      <c r="C80" s="1" t="n">
        <v>45345</v>
      </c>
      <c r="D80" t="inlineStr">
        <is>
          <t>SKÅNE LÄN</t>
        </is>
      </c>
      <c r="E80" t="inlineStr">
        <is>
          <t>TOMELILLA</t>
        </is>
      </c>
      <c r="F80" t="inlineStr">
        <is>
          <t>Övriga Aktiebolag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11002-2023</t>
        </is>
      </c>
      <c r="B81" s="1" t="n">
        <v>44991</v>
      </c>
      <c r="C81" s="1" t="n">
        <v>45345</v>
      </c>
      <c r="D81" t="inlineStr">
        <is>
          <t>SKÅNE LÄN</t>
        </is>
      </c>
      <c r="E81" t="inlineStr">
        <is>
          <t>TOMELILLA</t>
        </is>
      </c>
      <c r="F81" t="inlineStr">
        <is>
          <t>Övriga Aktiebolag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12180-2023</t>
        </is>
      </c>
      <c r="B82" s="1" t="n">
        <v>44998</v>
      </c>
      <c r="C82" s="1" t="n">
        <v>45345</v>
      </c>
      <c r="D82" t="inlineStr">
        <is>
          <t>SKÅNE LÄN</t>
        </is>
      </c>
      <c r="E82" t="inlineStr">
        <is>
          <t>TOMELILLA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12181-2023</t>
        </is>
      </c>
      <c r="B83" s="1" t="n">
        <v>44998</v>
      </c>
      <c r="C83" s="1" t="n">
        <v>45345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12310-2023</t>
        </is>
      </c>
      <c r="B84" s="1" t="n">
        <v>44999</v>
      </c>
      <c r="C84" s="1" t="n">
        <v>45345</v>
      </c>
      <c r="D84" t="inlineStr">
        <is>
          <t>SKÅNE LÄN</t>
        </is>
      </c>
      <c r="E84" t="inlineStr">
        <is>
          <t>TOMELILLA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12354-2023</t>
        </is>
      </c>
      <c r="B85" s="1" t="n">
        <v>44999</v>
      </c>
      <c r="C85" s="1" t="n">
        <v>45345</v>
      </c>
      <c r="D85" t="inlineStr">
        <is>
          <t>SKÅNE LÄN</t>
        </is>
      </c>
      <c r="E85" t="inlineStr">
        <is>
          <t>TOMELILLA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14152-2023</t>
        </is>
      </c>
      <c r="B86" s="1" t="n">
        <v>45009</v>
      </c>
      <c r="C86" s="1" t="n">
        <v>45345</v>
      </c>
      <c r="D86" t="inlineStr">
        <is>
          <t>SKÅNE LÄN</t>
        </is>
      </c>
      <c r="E86" t="inlineStr">
        <is>
          <t>TOMELILLA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14154-2023</t>
        </is>
      </c>
      <c r="B87" s="1" t="n">
        <v>45009</v>
      </c>
      <c r="C87" s="1" t="n">
        <v>45345</v>
      </c>
      <c r="D87" t="inlineStr">
        <is>
          <t>SKÅNE LÄN</t>
        </is>
      </c>
      <c r="E87" t="inlineStr">
        <is>
          <t>TOMELILLA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15514-2023</t>
        </is>
      </c>
      <c r="B88" s="1" t="n">
        <v>45020</v>
      </c>
      <c r="C88" s="1" t="n">
        <v>45345</v>
      </c>
      <c r="D88" t="inlineStr">
        <is>
          <t>SKÅNE LÄN</t>
        </is>
      </c>
      <c r="E88" t="inlineStr">
        <is>
          <t>TOMELILLA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28862-2023</t>
        </is>
      </c>
      <c r="B89" s="1" t="n">
        <v>45104</v>
      </c>
      <c r="C89" s="1" t="n">
        <v>45345</v>
      </c>
      <c r="D89" t="inlineStr">
        <is>
          <t>SKÅNE LÄN</t>
        </is>
      </c>
      <c r="E89" t="inlineStr">
        <is>
          <t>TOMELILLA</t>
        </is>
      </c>
      <c r="F89" t="inlineStr">
        <is>
          <t>Övriga Aktiebolag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30673-2023</t>
        </is>
      </c>
      <c r="B90" s="1" t="n">
        <v>45112</v>
      </c>
      <c r="C90" s="1" t="n">
        <v>45345</v>
      </c>
      <c r="D90" t="inlineStr">
        <is>
          <t>SKÅNE LÄN</t>
        </is>
      </c>
      <c r="E90" t="inlineStr">
        <is>
          <t>TOMELILLA</t>
        </is>
      </c>
      <c r="F90" t="inlineStr">
        <is>
          <t>Övriga Aktiebolag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30806-2023</t>
        </is>
      </c>
      <c r="B91" s="1" t="n">
        <v>45112</v>
      </c>
      <c r="C91" s="1" t="n">
        <v>45345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31993-2023</t>
        </is>
      </c>
      <c r="B92" s="1" t="n">
        <v>45119</v>
      </c>
      <c r="C92" s="1" t="n">
        <v>45345</v>
      </c>
      <c r="D92" t="inlineStr">
        <is>
          <t>SKÅNE LÄN</t>
        </is>
      </c>
      <c r="E92" t="inlineStr">
        <is>
          <t>TOMELILLA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38562-2023</t>
        </is>
      </c>
      <c r="B93" s="1" t="n">
        <v>45162</v>
      </c>
      <c r="C93" s="1" t="n">
        <v>45345</v>
      </c>
      <c r="D93" t="inlineStr">
        <is>
          <t>SKÅNE LÄN</t>
        </is>
      </c>
      <c r="E93" t="inlineStr">
        <is>
          <t>TOMELILLA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47231-2023</t>
        </is>
      </c>
      <c r="B94" s="1" t="n">
        <v>45202</v>
      </c>
      <c r="C94" s="1" t="n">
        <v>45345</v>
      </c>
      <c r="D94" t="inlineStr">
        <is>
          <t>SKÅNE LÄN</t>
        </is>
      </c>
      <c r="E94" t="inlineStr">
        <is>
          <t>TOMELILLA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51031-2023</t>
        </is>
      </c>
      <c r="B95" s="1" t="n">
        <v>45211</v>
      </c>
      <c r="C95" s="1" t="n">
        <v>45345</v>
      </c>
      <c r="D95" t="inlineStr">
        <is>
          <t>SKÅNE LÄN</t>
        </is>
      </c>
      <c r="E95" t="inlineStr">
        <is>
          <t>TOMELILLA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55802-2023</t>
        </is>
      </c>
      <c r="B96" s="1" t="n">
        <v>45239</v>
      </c>
      <c r="C96" s="1" t="n">
        <v>45345</v>
      </c>
      <c r="D96" t="inlineStr">
        <is>
          <t>SKÅNE LÄN</t>
        </is>
      </c>
      <c r="E96" t="inlineStr">
        <is>
          <t>TOMELILLA</t>
        </is>
      </c>
      <c r="F96" t="inlineStr">
        <is>
          <t>Övriga Aktiebolag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57961-2023</t>
        </is>
      </c>
      <c r="B97" s="1" t="n">
        <v>45247</v>
      </c>
      <c r="C97" s="1" t="n">
        <v>45345</v>
      </c>
      <c r="D97" t="inlineStr">
        <is>
          <t>SKÅNE LÄN</t>
        </is>
      </c>
      <c r="E97" t="inlineStr">
        <is>
          <t>TOMELILLA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60620-2023</t>
        </is>
      </c>
      <c r="B98" s="1" t="n">
        <v>45259</v>
      </c>
      <c r="C98" s="1" t="n">
        <v>45345</v>
      </c>
      <c r="D98" t="inlineStr">
        <is>
          <t>SKÅNE LÄN</t>
        </is>
      </c>
      <c r="E98" t="inlineStr">
        <is>
          <t>TOMELILLA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60623-2023</t>
        </is>
      </c>
      <c r="B99" s="1" t="n">
        <v>45259</v>
      </c>
      <c r="C99" s="1" t="n">
        <v>45345</v>
      </c>
      <c r="D99" t="inlineStr">
        <is>
          <t>SKÅNE LÄN</t>
        </is>
      </c>
      <c r="E99" t="inlineStr">
        <is>
          <t>TOMELILLA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60817-2023</t>
        </is>
      </c>
      <c r="B100" s="1" t="n">
        <v>45260</v>
      </c>
      <c r="C100" s="1" t="n">
        <v>45345</v>
      </c>
      <c r="D100" t="inlineStr">
        <is>
          <t>SKÅNE LÄN</t>
        </is>
      </c>
      <c r="E100" t="inlineStr">
        <is>
          <t>TOMELILLA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60809-2023</t>
        </is>
      </c>
      <c r="B101" s="1" t="n">
        <v>45260</v>
      </c>
      <c r="C101" s="1" t="n">
        <v>45345</v>
      </c>
      <c r="D101" t="inlineStr">
        <is>
          <t>SKÅNE LÄN</t>
        </is>
      </c>
      <c r="E101" t="inlineStr">
        <is>
          <t>TOMELILLA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60813-2023</t>
        </is>
      </c>
      <c r="B102" s="1" t="n">
        <v>45260</v>
      </c>
      <c r="C102" s="1" t="n">
        <v>45345</v>
      </c>
      <c r="D102" t="inlineStr">
        <is>
          <t>SKÅNE LÄN</t>
        </is>
      </c>
      <c r="E102" t="inlineStr">
        <is>
          <t>TOMELILLA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60815-2023</t>
        </is>
      </c>
      <c r="B103" s="1" t="n">
        <v>45260</v>
      </c>
      <c r="C103" s="1" t="n">
        <v>45345</v>
      </c>
      <c r="D103" t="inlineStr">
        <is>
          <t>SKÅNE LÄN</t>
        </is>
      </c>
      <c r="E103" t="inlineStr">
        <is>
          <t>TOMELILLA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64890-2023</t>
        </is>
      </c>
      <c r="B104" s="1" t="n">
        <v>45282</v>
      </c>
      <c r="C104" s="1" t="n">
        <v>45345</v>
      </c>
      <c r="D104" t="inlineStr">
        <is>
          <t>SKÅNE LÄN</t>
        </is>
      </c>
      <c r="E104" t="inlineStr">
        <is>
          <t>TOMELILLA</t>
        </is>
      </c>
      <c r="F104" t="inlineStr">
        <is>
          <t>Kyrkan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566-2024</t>
        </is>
      </c>
      <c r="B105" s="1" t="n">
        <v>45299</v>
      </c>
      <c r="C105" s="1" t="n">
        <v>45345</v>
      </c>
      <c r="D105" t="inlineStr">
        <is>
          <t>SKÅNE LÄN</t>
        </is>
      </c>
      <c r="E105" t="inlineStr">
        <is>
          <t>TOMELILLA</t>
        </is>
      </c>
      <c r="F105" t="inlineStr">
        <is>
          <t>Övriga Aktiebolag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578-2024</t>
        </is>
      </c>
      <c r="B106" s="1" t="n">
        <v>45299</v>
      </c>
      <c r="C106" s="1" t="n">
        <v>45345</v>
      </c>
      <c r="D106" t="inlineStr">
        <is>
          <t>SKÅNE LÄN</t>
        </is>
      </c>
      <c r="E106" t="inlineStr">
        <is>
          <t>TOMELILLA</t>
        </is>
      </c>
      <c r="F106" t="inlineStr">
        <is>
          <t>Övriga Aktiebolag</t>
        </is>
      </c>
      <c r="G106" t="n">
        <v>67.40000000000001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743-2024</t>
        </is>
      </c>
      <c r="B107" s="1" t="n">
        <v>45300</v>
      </c>
      <c r="C107" s="1" t="n">
        <v>45345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11.1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823-2024</t>
        </is>
      </c>
      <c r="B108" s="1" t="n">
        <v>45300</v>
      </c>
      <c r="C108" s="1" t="n">
        <v>45345</v>
      </c>
      <c r="D108" t="inlineStr">
        <is>
          <t>SKÅNE LÄN</t>
        </is>
      </c>
      <c r="E108" t="inlineStr">
        <is>
          <t>TOMELILLA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1199-2024</t>
        </is>
      </c>
      <c r="B109" s="1" t="n">
        <v>45302</v>
      </c>
      <c r="C109" s="1" t="n">
        <v>45345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16.1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2548-2024</t>
        </is>
      </c>
      <c r="B110" s="1" t="n">
        <v>45313</v>
      </c>
      <c r="C110" s="1" t="n">
        <v>45345</v>
      </c>
      <c r="D110" t="inlineStr">
        <is>
          <t>SKÅNE LÄN</t>
        </is>
      </c>
      <c r="E110" t="inlineStr">
        <is>
          <t>TOMELILLA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3529-2024</t>
        </is>
      </c>
      <c r="B111" s="1" t="n">
        <v>45320</v>
      </c>
      <c r="C111" s="1" t="n">
        <v>45345</v>
      </c>
      <c r="D111" t="inlineStr">
        <is>
          <t>SKÅNE LÄN</t>
        </is>
      </c>
      <c r="E111" t="inlineStr">
        <is>
          <t>TOMELILLA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4018-2024</t>
        </is>
      </c>
      <c r="B112" s="1" t="n">
        <v>45323</v>
      </c>
      <c r="C112" s="1" t="n">
        <v>45345</v>
      </c>
      <c r="D112" t="inlineStr">
        <is>
          <t>SKÅNE LÄN</t>
        </is>
      </c>
      <c r="E112" t="inlineStr">
        <is>
          <t>TOMELILLA</t>
        </is>
      </c>
      <c r="F112" t="inlineStr">
        <is>
          <t>Övriga Aktiebolag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4023-2024</t>
        </is>
      </c>
      <c r="B113" s="1" t="n">
        <v>45323</v>
      </c>
      <c r="C113" s="1" t="n">
        <v>45345</v>
      </c>
      <c r="D113" t="inlineStr">
        <is>
          <t>SKÅNE LÄN</t>
        </is>
      </c>
      <c r="E113" t="inlineStr">
        <is>
          <t>TOMELILLA</t>
        </is>
      </c>
      <c r="F113" t="inlineStr">
        <is>
          <t>Övriga Aktiebolag</t>
        </is>
      </c>
      <c r="G113" t="n">
        <v>15.2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4188-2024</t>
        </is>
      </c>
      <c r="B114" s="1" t="n">
        <v>45324</v>
      </c>
      <c r="C114" s="1" t="n">
        <v>45345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9.6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4191-2024</t>
        </is>
      </c>
      <c r="B115" s="1" t="n">
        <v>45324</v>
      </c>
      <c r="C115" s="1" t="n">
        <v>45345</v>
      </c>
      <c r="D115" t="inlineStr">
        <is>
          <t>SKÅNE LÄN</t>
        </is>
      </c>
      <c r="E115" t="inlineStr">
        <is>
          <t>TOMELILLA</t>
        </is>
      </c>
      <c r="F115" t="inlineStr">
        <is>
          <t>Övriga Aktiebolag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4478-2024</t>
        </is>
      </c>
      <c r="B116" s="1" t="n">
        <v>45327</v>
      </c>
      <c r="C116" s="1" t="n">
        <v>45345</v>
      </c>
      <c r="D116" t="inlineStr">
        <is>
          <t>SKÅNE LÄN</t>
        </is>
      </c>
      <c r="E116" t="inlineStr">
        <is>
          <t>TOMELILLA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4649-2024</t>
        </is>
      </c>
      <c r="B117" s="1" t="n">
        <v>45328</v>
      </c>
      <c r="C117" s="1" t="n">
        <v>45345</v>
      </c>
      <c r="D117" t="inlineStr">
        <is>
          <t>SKÅNE LÄN</t>
        </is>
      </c>
      <c r="E117" t="inlineStr">
        <is>
          <t>TOMELILLA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4651-2024</t>
        </is>
      </c>
      <c r="B118" s="1" t="n">
        <v>45328</v>
      </c>
      <c r="C118" s="1" t="n">
        <v>45345</v>
      </c>
      <c r="D118" t="inlineStr">
        <is>
          <t>SKÅNE LÄN</t>
        </is>
      </c>
      <c r="E118" t="inlineStr">
        <is>
          <t>TOMELILLA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5027-2024</t>
        </is>
      </c>
      <c r="B119" s="1" t="n">
        <v>45329</v>
      </c>
      <c r="C119" s="1" t="n">
        <v>45345</v>
      </c>
      <c r="D119" t="inlineStr">
        <is>
          <t>SKÅNE LÄN</t>
        </is>
      </c>
      <c r="E119" t="inlineStr">
        <is>
          <t>TOMELILLA</t>
        </is>
      </c>
      <c r="F119" t="inlineStr">
        <is>
          <t>Övriga Aktiebolag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5536-2024</t>
        </is>
      </c>
      <c r="B120" s="1" t="n">
        <v>45334</v>
      </c>
      <c r="C120" s="1" t="n">
        <v>45345</v>
      </c>
      <c r="D120" t="inlineStr">
        <is>
          <t>SKÅNE LÄN</t>
        </is>
      </c>
      <c r="E120" t="inlineStr">
        <is>
          <t>TOMELILLA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5544-2024</t>
        </is>
      </c>
      <c r="B121" s="1" t="n">
        <v>45334</v>
      </c>
      <c r="C121" s="1" t="n">
        <v>45345</v>
      </c>
      <c r="D121" t="inlineStr">
        <is>
          <t>SKÅNE LÄN</t>
        </is>
      </c>
      <c r="E121" t="inlineStr">
        <is>
          <t>TOMELILLA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5565-2024</t>
        </is>
      </c>
      <c r="B122" s="1" t="n">
        <v>45334</v>
      </c>
      <c r="C122" s="1" t="n">
        <v>45345</v>
      </c>
      <c r="D122" t="inlineStr">
        <is>
          <t>SKÅNE LÄN</t>
        </is>
      </c>
      <c r="E122" t="inlineStr">
        <is>
          <t>TOMELILLA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5569-2024</t>
        </is>
      </c>
      <c r="B123" s="1" t="n">
        <v>45334</v>
      </c>
      <c r="C123" s="1" t="n">
        <v>45345</v>
      </c>
      <c r="D123" t="inlineStr">
        <is>
          <t>SKÅNE LÄN</t>
        </is>
      </c>
      <c r="E123" t="inlineStr">
        <is>
          <t>TOMELILLA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5709-2024</t>
        </is>
      </c>
      <c r="B124" s="1" t="n">
        <v>45334</v>
      </c>
      <c r="C124" s="1" t="n">
        <v>45345</v>
      </c>
      <c r="D124" t="inlineStr">
        <is>
          <t>SKÅNE LÄN</t>
        </is>
      </c>
      <c r="E124" t="inlineStr">
        <is>
          <t>TOMELILLA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5956-2024</t>
        </is>
      </c>
      <c r="B125" s="1" t="n">
        <v>45336</v>
      </c>
      <c r="C125" s="1" t="n">
        <v>45345</v>
      </c>
      <c r="D125" t="inlineStr">
        <is>
          <t>SKÅNE LÄN</t>
        </is>
      </c>
      <c r="E125" t="inlineStr">
        <is>
          <t>TOMELILLA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6261-2024</t>
        </is>
      </c>
      <c r="B126" s="1" t="n">
        <v>45337</v>
      </c>
      <c r="C126" s="1" t="n">
        <v>45345</v>
      </c>
      <c r="D126" t="inlineStr">
        <is>
          <t>SKÅNE LÄN</t>
        </is>
      </c>
      <c r="E126" t="inlineStr">
        <is>
          <t>TOMELILLA</t>
        </is>
      </c>
      <c r="G126" t="n">
        <v>12.6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6262-2024</t>
        </is>
      </c>
      <c r="B127" s="1" t="n">
        <v>45337</v>
      </c>
      <c r="C127" s="1" t="n">
        <v>45345</v>
      </c>
      <c r="D127" t="inlineStr">
        <is>
          <t>SKÅNE LÄN</t>
        </is>
      </c>
      <c r="E127" t="inlineStr">
        <is>
          <t>TOMELILLA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6316-2024</t>
        </is>
      </c>
      <c r="B128" s="1" t="n">
        <v>45338</v>
      </c>
      <c r="C128" s="1" t="n">
        <v>45345</v>
      </c>
      <c r="D128" t="inlineStr">
        <is>
          <t>SKÅNE LÄN</t>
        </is>
      </c>
      <c r="E128" t="inlineStr">
        <is>
          <t>TOMELILLA</t>
        </is>
      </c>
      <c r="F128" t="inlineStr">
        <is>
          <t>Övriga Aktiebolag</t>
        </is>
      </c>
      <c r="G128" t="n">
        <v>28.6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2024-02-23T06:57:42Z</dcterms:created>
  <dcterms:modified xmlns:dcterms="http://purl.org/dc/terms/" xmlns:xsi="http://www.w3.org/2001/XMLSchema-instance" xsi:type="dcterms:W3CDTF">2024-02-23T06:57:42Z</dcterms:modified>
</cp:coreProperties>
</file>