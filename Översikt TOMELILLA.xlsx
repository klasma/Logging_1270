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46231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46231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46231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46231</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46231</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46231</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46231</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49813-2025</t>
        </is>
      </c>
      <c r="B13" t="inlineStr">
        <is>
          <t>avverkningsanmälan</t>
        </is>
      </c>
      <c r="C13" t="inlineStr">
        <is>
          <t>Föryngringsavverkning</t>
        </is>
      </c>
      <c r="D13" s="1" t="n">
        <v>45940</v>
      </c>
      <c r="E13" s="1" t="n">
        <v>46231</v>
      </c>
      <c r="F13" t="inlineStr">
        <is>
          <t>SKÅNE LÄN</t>
        </is>
      </c>
      <c r="G13" t="inlineStr">
        <is>
          <t>TOMELILLA</t>
        </is>
      </c>
      <c r="I13" t="n">
        <v>4.5</v>
      </c>
      <c r="J13" t="n">
        <v>1</v>
      </c>
      <c r="K13" t="n">
        <v>0</v>
      </c>
      <c r="L13" t="n">
        <v>0</v>
      </c>
      <c r="M13" t="n">
        <v>0</v>
      </c>
      <c r="N13" t="n">
        <v>0</v>
      </c>
      <c r="O13" t="n">
        <v>0</v>
      </c>
      <c r="P13" t="n">
        <v>0</v>
      </c>
      <c r="Q13" t="n">
        <v>0</v>
      </c>
      <c r="R13" t="n">
        <v>0</v>
      </c>
      <c r="S13" t="n">
        <v>1</v>
      </c>
      <c r="T13" t="n">
        <v>1</v>
      </c>
      <c r="U13" t="n">
        <v>0</v>
      </c>
      <c r="V13" s="2" t="inlineStr">
        <is>
          <t>Långbensgroda</t>
        </is>
      </c>
      <c r="W13">
        <f>HYPERLINK("https://klasma.github.io/Logging_1270/artfynd/A 49813-2025 artfynd.xlsx", "A 49813-2025")</f>
        <v/>
      </c>
      <c r="X13">
        <f>HYPERLINK("https://klasma.github.io/Logging_1270/kartor/A 49813-2025 karta.png", "A 49813-2025")</f>
        <v/>
      </c>
      <c r="Y13">
        <f>HYPERLINK("https://klasma.github.io/Logging_1270/kartor_geotiff/A 49813-2025 georefererad karta.tif", "A 49813-2025")</f>
        <v/>
      </c>
      <c r="AA13">
        <f>HYPERLINK("https://klasma.github.io/Logging_1270/klagomål/A 49813-2025 FSC-klagomål.docx", "A 49813-2025")</f>
        <v/>
      </c>
      <c r="AB13">
        <f>HYPERLINK("https://klasma.github.io/Logging_1270/klagomålsmail/A 49813-2025 FSC-klagomål mail.docx", "A 49813-2025")</f>
        <v/>
      </c>
      <c r="AC13">
        <f>HYPERLINK("https://klasma.github.io/Logging_1270/tillsyn/A 49813-2025 tillsynsbegäran.docx", "A 49813-2025")</f>
        <v/>
      </c>
      <c r="AD13">
        <f>HYPERLINK("https://klasma.github.io/Logging_1270/tillsynsmail/A 49813-2025 tillsynsbegäran mail.docx", "A 49813-2025")</f>
        <v/>
      </c>
    </row>
    <row r="14" ht="15" customHeight="1">
      <c r="A14" t="inlineStr">
        <is>
          <t>A 61314-2025</t>
        </is>
      </c>
      <c r="B14" t="inlineStr">
        <is>
          <t>avverkningsanmälan</t>
        </is>
      </c>
      <c r="C14" t="inlineStr">
        <is>
          <t>Föryngringsavverkning</t>
        </is>
      </c>
      <c r="D14" s="1" t="n">
        <v>46000</v>
      </c>
      <c r="E14" s="1" t="n">
        <v>46231</v>
      </c>
      <c r="F14" t="inlineStr">
        <is>
          <t>SKÅNE LÄN</t>
        </is>
      </c>
      <c r="G14" t="inlineStr">
        <is>
          <t>TOMELILLA</t>
        </is>
      </c>
      <c r="I14" t="n">
        <v>0.8</v>
      </c>
      <c r="J14" t="n">
        <v>1</v>
      </c>
      <c r="K14" t="n">
        <v>0</v>
      </c>
      <c r="L14" t="n">
        <v>0</v>
      </c>
      <c r="M14" t="n">
        <v>0</v>
      </c>
      <c r="N14" t="n">
        <v>0</v>
      </c>
      <c r="O14" t="n">
        <v>0</v>
      </c>
      <c r="P14" t="n">
        <v>0</v>
      </c>
      <c r="Q14" t="n">
        <v>0</v>
      </c>
      <c r="R14" t="n">
        <v>0</v>
      </c>
      <c r="S14" t="n">
        <v>1</v>
      </c>
      <c r="T14" t="n">
        <v>1</v>
      </c>
      <c r="U14" t="n">
        <v>0</v>
      </c>
      <c r="V14" s="2" t="inlineStr">
        <is>
          <t>Hasselmus</t>
        </is>
      </c>
      <c r="W14">
        <f>HYPERLINK("https://klasma.github.io/Logging_1270/artfynd/A 61314-2025 artfynd.xlsx", "A 61314-2025")</f>
        <v/>
      </c>
      <c r="X14">
        <f>HYPERLINK("https://klasma.github.io/Logging_1270/kartor/A 61314-2025 karta.png", "A 61314-2025")</f>
        <v/>
      </c>
      <c r="Y14">
        <f>HYPERLINK("https://klasma.github.io/Logging_1270/kartor_geotiff/A 61314-2025 georefererad karta.tif", "A 61314-2025")</f>
        <v/>
      </c>
      <c r="AA14">
        <f>HYPERLINK("https://klasma.github.io/Logging_1270/klagomål/A 61314-2025 FSC-klagomål.docx", "A 61314-2025")</f>
        <v/>
      </c>
      <c r="AB14">
        <f>HYPERLINK("https://klasma.github.io/Logging_1270/klagomålsmail/A 61314-2025 FSC-klagomål mail.docx", "A 61314-2025")</f>
        <v/>
      </c>
      <c r="AC14">
        <f>HYPERLINK("https://klasma.github.io/Logging_1270/tillsyn/A 61314-2025 tillsynsbegäran.docx", "A 61314-2025")</f>
        <v/>
      </c>
      <c r="AD14">
        <f>HYPERLINK("https://klasma.github.io/Logging_1270/tillsynsmail/A 61314-2025 tillsynsbegäran mail.docx", "A 61314-2025")</f>
        <v/>
      </c>
    </row>
    <row r="15" ht="15" customHeight="1">
      <c r="A15" t="inlineStr">
        <is>
          <t>A 6261-2024</t>
        </is>
      </c>
      <c r="B15" t="inlineStr">
        <is>
          <t>avverkningsanmälan</t>
        </is>
      </c>
      <c r="C15" t="inlineStr">
        <is>
          <t>Föryngringsavverkning</t>
        </is>
      </c>
      <c r="D15" s="1" t="n">
        <v>45337</v>
      </c>
      <c r="E15" s="1" t="n">
        <v>46231</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2193-2022</t>
        </is>
      </c>
      <c r="B16" t="inlineStr">
        <is>
          <t>avverkningsanmälan</t>
        </is>
      </c>
      <c r="C16" t="inlineStr">
        <is>
          <t>Föryngringsavverkning</t>
        </is>
      </c>
      <c r="D16" s="1" t="n">
        <v>44578</v>
      </c>
      <c r="E16" s="1" t="n">
        <v>46231</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26958-2025</t>
        </is>
      </c>
      <c r="B17" t="inlineStr">
        <is>
          <t>avverkningsanmälan</t>
        </is>
      </c>
      <c r="C17" t="inlineStr">
        <is>
          <t>Föryngringsavverkning</t>
        </is>
      </c>
      <c r="D17" s="1" t="n">
        <v>45811</v>
      </c>
      <c r="E17" s="1" t="n">
        <v>46231</v>
      </c>
      <c r="F17" t="inlineStr">
        <is>
          <t>SKÅNE LÄN</t>
        </is>
      </c>
      <c r="G17" t="inlineStr">
        <is>
          <t>TOMELILLA</t>
        </is>
      </c>
      <c r="I17" t="n">
        <v>2.9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HYPERLINK("https://klasma.github.io/Logging_1270/artfynd/A 26958-2025 artfynd.xlsx", "A 26958-2025")</f>
        <v/>
      </c>
      <c r="X17">
        <f>HYPERLINK("https://klasma.github.io/Logging_1270/kartor/A 26958-2025 karta.png", "A 26958-2025")</f>
        <v/>
      </c>
      <c r="Y17">
        <f>HYPERLINK("https://klasma.github.io/Logging_1270/kartor_geotiff/A 26958-2025 georefererad karta.tif", "A 26958-2025")</f>
        <v/>
      </c>
      <c r="AA17">
        <f>HYPERLINK("https://klasma.github.io/Logging_1270/klagomål/A 26958-2025 FSC-klagomål.docx", "A 26958-2025")</f>
        <v/>
      </c>
      <c r="AB17">
        <f>HYPERLINK("https://klasma.github.io/Logging_1270/klagomålsmail/A 26958-2025 FSC-klagomål mail.docx", "A 26958-2025")</f>
        <v/>
      </c>
      <c r="AC17">
        <f>HYPERLINK("https://klasma.github.io/Logging_1270/tillsyn/A 26958-2025 tillsynsbegäran.docx", "A 26958-2025")</f>
        <v/>
      </c>
      <c r="AD17">
        <f>HYPERLINK("https://klasma.github.io/Logging_1270/tillsynsmail/A 26958-2025 tillsynsbegäran mail.docx", "A 26958-2025")</f>
        <v/>
      </c>
    </row>
    <row r="18" ht="15" customHeight="1">
      <c r="A18" t="inlineStr">
        <is>
          <t>A 26823-2026</t>
        </is>
      </c>
      <c r="B18" t="inlineStr">
        <is>
          <t>avverkningsanmälan</t>
        </is>
      </c>
      <c r="C18" t="inlineStr">
        <is>
          <t>Föryngringsavverkning</t>
        </is>
      </c>
      <c r="D18" s="1" t="n">
        <v>46183</v>
      </c>
      <c r="E18" s="1" t="n">
        <v>46231</v>
      </c>
      <c r="F18" t="inlineStr">
        <is>
          <t>SKÅNE LÄN</t>
        </is>
      </c>
      <c r="G18" t="inlineStr">
        <is>
          <t>TOMELILLA</t>
        </is>
      </c>
      <c r="I18" t="n">
        <v>12.9</v>
      </c>
      <c r="J18" t="n">
        <v>0</v>
      </c>
      <c r="K18" t="n">
        <v>0</v>
      </c>
      <c r="L18" t="n">
        <v>1</v>
      </c>
      <c r="M18" t="n">
        <v>0</v>
      </c>
      <c r="N18" t="n">
        <v>0</v>
      </c>
      <c r="O18" t="n">
        <v>0</v>
      </c>
      <c r="P18" t="n">
        <v>0</v>
      </c>
      <c r="Q18" t="n">
        <v>1</v>
      </c>
      <c r="R18" t="n">
        <v>0</v>
      </c>
      <c r="S18" t="n">
        <v>1</v>
      </c>
      <c r="T18" t="n">
        <v>1</v>
      </c>
      <c r="U18" t="n">
        <v>0</v>
      </c>
      <c r="V18" s="2" t="inlineStr">
        <is>
          <t>Bokkantlav</t>
        </is>
      </c>
      <c r="W18">
        <f>HYPERLINK("https://klasma.github.io/Logging_1270/artfynd/A 26823-2026 artfynd.xlsx", "A 26823-2026")</f>
        <v/>
      </c>
      <c r="X18">
        <f>HYPERLINK("https://klasma.github.io/Logging_1270/kartor/A 26823-2026 karta.png", "A 26823-2026")</f>
        <v/>
      </c>
      <c r="Y18">
        <f>HYPERLINK("https://klasma.github.io/Logging_1270/kartor_geotiff/A 26823-2026 georefererad karta.tif", "A 26823-2026")</f>
        <v/>
      </c>
      <c r="AA18">
        <f>HYPERLINK("https://klasma.github.io/Logging_1270/klagomål/A 26823-2026 FSC-klagomål.docx", "A 26823-2026")</f>
        <v/>
      </c>
      <c r="AB18">
        <f>HYPERLINK("https://klasma.github.io/Logging_1270/klagomålsmail/A 26823-2026 FSC-klagomål mail.docx", "A 26823-2026")</f>
        <v/>
      </c>
      <c r="AC18">
        <f>HYPERLINK("https://klasma.github.io/Logging_1270/tillsyn/A 26823-2026 tillsynsbegäran.docx", "A 26823-2026")</f>
        <v/>
      </c>
      <c r="AD18">
        <f>HYPERLINK("https://klasma.github.io/Logging_1270/tillsynsmail/A 26823-2026 tillsynsbegäran mail.docx", "A 26823-2026")</f>
        <v/>
      </c>
    </row>
    <row r="19" ht="15" customHeight="1">
      <c r="A19" t="inlineStr">
        <is>
          <t>A 6262-2024</t>
        </is>
      </c>
      <c r="B19" t="inlineStr">
        <is>
          <t>avverkningsanmälan</t>
        </is>
      </c>
      <c r="C19" t="inlineStr">
        <is>
          <t>Föryngringsavverkning</t>
        </is>
      </c>
      <c r="D19" s="1" t="n">
        <v>45337</v>
      </c>
      <c r="E19" s="1" t="n">
        <v>46231</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46231</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20397-2026</t>
        </is>
      </c>
      <c r="B21" t="inlineStr">
        <is>
          <t>avverkningsanmälan</t>
        </is>
      </c>
      <c r="C21" t="inlineStr">
        <is>
          <t>Föryngringsavverkning</t>
        </is>
      </c>
      <c r="D21" s="1" t="n">
        <v>46139</v>
      </c>
      <c r="E21" s="1" t="n">
        <v>46231</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60820-2023</t>
        </is>
      </c>
      <c r="B22" t="inlineStr">
        <is>
          <t>avverkningsanmälan</t>
        </is>
      </c>
      <c r="C22" t="inlineStr">
        <is>
          <t>Föryngringsavverkning</t>
        </is>
      </c>
      <c r="D22" s="1" t="n">
        <v>45260</v>
      </c>
      <c r="E22" s="1" t="n">
        <v>46231</v>
      </c>
      <c r="F22" t="inlineStr">
        <is>
          <t>SKÅNE LÄN</t>
        </is>
      </c>
      <c r="G22" t="inlineStr">
        <is>
          <t>TOMELILLA</t>
        </is>
      </c>
      <c r="I22" t="n">
        <v>4.6</v>
      </c>
      <c r="J22" t="n">
        <v>0</v>
      </c>
      <c r="K22" t="n">
        <v>1</v>
      </c>
      <c r="L22" t="n">
        <v>0</v>
      </c>
      <c r="M22" t="n">
        <v>0</v>
      </c>
      <c r="N22" t="n">
        <v>0</v>
      </c>
      <c r="O22" t="n">
        <v>0</v>
      </c>
      <c r="P22" t="n">
        <v>0</v>
      </c>
      <c r="Q22" t="n">
        <v>0</v>
      </c>
      <c r="R22" t="n">
        <v>0</v>
      </c>
      <c r="S22" t="n">
        <v>1</v>
      </c>
      <c r="T22" t="n">
        <v>1</v>
      </c>
      <c r="U22" t="n">
        <v>0</v>
      </c>
      <c r="V22" s="2" t="inlineStr">
        <is>
          <t>Guldlockmossa</t>
        </is>
      </c>
      <c r="W22">
        <f>HYPERLINK("https://klasma.github.io/Logging_1270/artfynd/A 60820-2023 artfynd.xlsx", "A 60820-2023")</f>
        <v/>
      </c>
      <c r="X22">
        <f>HYPERLINK("https://klasma.github.io/Logging_1270/kartor/A 60820-2023 karta.png", "A 60820-2023")</f>
        <v/>
      </c>
      <c r="Y22">
        <f>HYPERLINK("https://klasma.github.io/Logging_1270/kartor_geotiff/A 60820-2023 georefererad karta.tif", "A 60820-2023")</f>
        <v/>
      </c>
      <c r="AA22">
        <f>HYPERLINK("https://klasma.github.io/Logging_1270/klagomål/A 60820-2023 FSC-klagomål.docx", "A 60820-2023")</f>
        <v/>
      </c>
      <c r="AB22">
        <f>HYPERLINK("https://klasma.github.io/Logging_1270/klagomålsmail/A 60820-2023 FSC-klagomål mail.docx", "A 60820-2023")</f>
        <v/>
      </c>
      <c r="AC22">
        <f>HYPERLINK("https://klasma.github.io/Logging_1270/tillsyn/A 60820-2023 tillsynsbegäran.docx", "A 60820-2023")</f>
        <v/>
      </c>
      <c r="AD22">
        <f>HYPERLINK("https://klasma.github.io/Logging_1270/tillsynsmail/A 60820-2023 tillsynsbegäran mail.docx", "A 60820-2023")</f>
        <v/>
      </c>
    </row>
    <row r="23" ht="15" customHeight="1">
      <c r="A23" t="inlineStr">
        <is>
          <t>A 42387-2022</t>
        </is>
      </c>
      <c r="B23" t="inlineStr">
        <is>
          <t>avverkningsanmälan</t>
        </is>
      </c>
      <c r="C23" t="inlineStr">
        <is>
          <t>Föryngringsavverkning</t>
        </is>
      </c>
      <c r="D23" s="1" t="n">
        <v>44830</v>
      </c>
      <c r="E23" s="1" t="n">
        <v>46231</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756-2024</t>
        </is>
      </c>
      <c r="B24" t="inlineStr">
        <is>
          <t>avverkningsanmälan</t>
        </is>
      </c>
      <c r="C24" t="inlineStr">
        <is>
          <t>Föryngringsavverkning</t>
        </is>
      </c>
      <c r="D24" s="1" t="n">
        <v>45300</v>
      </c>
      <c r="E24" s="1" t="n">
        <v>46231</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17907-2024</t>
        </is>
      </c>
      <c r="B25" t="inlineStr">
        <is>
          <t>avverkningsanmälan</t>
        </is>
      </c>
      <c r="C25" t="inlineStr">
        <is>
          <t>Föryngringsavverkning</t>
        </is>
      </c>
      <c r="D25" s="1" t="n">
        <v>45419</v>
      </c>
      <c r="E25" s="1" t="n">
        <v>46231</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46231</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46231</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46231</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46231</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46231</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46231</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46231</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4023-2024</t>
        </is>
      </c>
      <c r="B33" t="inlineStr">
        <is>
          <t>avverkningsanmälan</t>
        </is>
      </c>
      <c r="C33" t="inlineStr">
        <is>
          <t>Föryngringsavverkning</t>
        </is>
      </c>
      <c r="D33" s="1" t="n">
        <v>45323</v>
      </c>
      <c r="E33" s="1" t="n">
        <v>46231</v>
      </c>
      <c r="F33" t="inlineStr">
        <is>
          <t>SKÅNE LÄN</t>
        </is>
      </c>
      <c r="G33" t="inlineStr">
        <is>
          <t>TOMELILLA</t>
        </is>
      </c>
      <c r="H33" t="inlineStr">
        <is>
          <t>Övriga Aktiebolag</t>
        </is>
      </c>
      <c r="I33" t="n">
        <v>15.2</v>
      </c>
      <c r="J33" t="n">
        <v>0</v>
      </c>
      <c r="K33" t="n">
        <v>0</v>
      </c>
      <c r="L33" t="n">
        <v>0</v>
      </c>
      <c r="M33" t="n">
        <v>0</v>
      </c>
      <c r="N33" t="n">
        <v>0</v>
      </c>
      <c r="O33" t="n">
        <v>0</v>
      </c>
      <c r="P33" t="n">
        <v>0</v>
      </c>
      <c r="Q33" t="n">
        <v>0</v>
      </c>
      <c r="R33" t="n">
        <v>0</v>
      </c>
      <c r="S33" t="n">
        <v>0</v>
      </c>
      <c r="T33" t="n">
        <v>0</v>
      </c>
      <c r="U33" t="n">
        <v>0</v>
      </c>
      <c r="V33" s="2" t="inlineStr"/>
    </row>
    <row r="34" ht="15" customHeight="1">
      <c r="A34" t="inlineStr">
        <is>
          <t>A 11802-2024</t>
        </is>
      </c>
      <c r="B34" t="inlineStr">
        <is>
          <t>avverkningsanmälan</t>
        </is>
      </c>
      <c r="C34" t="inlineStr">
        <is>
          <t>Föryngringsavverkning</t>
        </is>
      </c>
      <c r="D34" s="1" t="n">
        <v>45375</v>
      </c>
      <c r="E34" s="1" t="n">
        <v>46231</v>
      </c>
      <c r="F34" t="inlineStr">
        <is>
          <t>SKÅNE LÄN</t>
        </is>
      </c>
      <c r="G34" t="inlineStr">
        <is>
          <t>TOMELILLA</t>
        </is>
      </c>
      <c r="H34" t="inlineStr">
        <is>
          <t>Övriga Aktiebolag</t>
        </is>
      </c>
      <c r="I34" t="n">
        <v>4.7</v>
      </c>
      <c r="J34" t="n">
        <v>0</v>
      </c>
      <c r="K34" t="n">
        <v>0</v>
      </c>
      <c r="L34" t="n">
        <v>0</v>
      </c>
      <c r="M34" t="n">
        <v>0</v>
      </c>
      <c r="N34" t="n">
        <v>0</v>
      </c>
      <c r="O34" t="n">
        <v>0</v>
      </c>
      <c r="P34" t="n">
        <v>0</v>
      </c>
      <c r="Q34" t="n">
        <v>0</v>
      </c>
      <c r="R34" t="n">
        <v>0</v>
      </c>
      <c r="S34" t="n">
        <v>0</v>
      </c>
      <c r="T34" t="n">
        <v>0</v>
      </c>
      <c r="U34" t="n">
        <v>0</v>
      </c>
      <c r="V34" s="2" t="inlineStr"/>
    </row>
    <row r="35" ht="15" customHeight="1">
      <c r="A35" t="inlineStr">
        <is>
          <t>A 19454-2024</t>
        </is>
      </c>
      <c r="B35" t="inlineStr">
        <is>
          <t>avverkningsanmälan</t>
        </is>
      </c>
      <c r="C35" t="inlineStr">
        <is>
          <t>Föryngringsavverkning</t>
        </is>
      </c>
      <c r="D35" s="1" t="n">
        <v>45429</v>
      </c>
      <c r="E35" s="1" t="n">
        <v>46231</v>
      </c>
      <c r="F35" t="inlineStr">
        <is>
          <t>SKÅNE LÄN</t>
        </is>
      </c>
      <c r="G35" t="inlineStr">
        <is>
          <t>TOMELILLA</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23813-2024</t>
        </is>
      </c>
      <c r="B36" t="inlineStr">
        <is>
          <t>avverkningsanmälan</t>
        </is>
      </c>
      <c r="C36" t="inlineStr">
        <is>
          <t>Föryngringsavverkning</t>
        </is>
      </c>
      <c r="D36" s="1" t="n">
        <v>45455</v>
      </c>
      <c r="E36" s="1" t="n">
        <v>46231</v>
      </c>
      <c r="F36" t="inlineStr">
        <is>
          <t>SKÅNE LÄN</t>
        </is>
      </c>
      <c r="G36" t="inlineStr">
        <is>
          <t>TOMELILLA</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24248-2024</t>
        </is>
      </c>
      <c r="B37" t="inlineStr">
        <is>
          <t>avverkningsanmälan</t>
        </is>
      </c>
      <c r="C37" t="inlineStr">
        <is>
          <t>Föryngringsavverkning</t>
        </is>
      </c>
      <c r="D37" s="1" t="n">
        <v>45457</v>
      </c>
      <c r="E37" s="1" t="n">
        <v>46231</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2548-2024</t>
        </is>
      </c>
      <c r="B38" t="inlineStr">
        <is>
          <t>avverkningsanmälan</t>
        </is>
      </c>
      <c r="C38" t="inlineStr">
        <is>
          <t>Föryngringsavverkning</t>
        </is>
      </c>
      <c r="D38" s="1" t="n">
        <v>45313</v>
      </c>
      <c r="E38" s="1" t="n">
        <v>46231</v>
      </c>
      <c r="F38" t="inlineStr">
        <is>
          <t>SKÅNE LÄN</t>
        </is>
      </c>
      <c r="G38" t="inlineStr">
        <is>
          <t>TOMELILLA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47231-2023</t>
        </is>
      </c>
      <c r="B39" t="inlineStr">
        <is>
          <t>avverkningsanmälan</t>
        </is>
      </c>
      <c r="C39" t="inlineStr">
        <is>
          <t>Föryngringsavverkning</t>
        </is>
      </c>
      <c r="D39" s="1" t="n">
        <v>45202</v>
      </c>
      <c r="E39" s="1" t="n">
        <v>46231</v>
      </c>
      <c r="F39" t="inlineStr">
        <is>
          <t>SKÅNE LÄN</t>
        </is>
      </c>
      <c r="G39" t="inlineStr">
        <is>
          <t>TOMELILLA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38787-2024</t>
        </is>
      </c>
      <c r="B40" t="inlineStr">
        <is>
          <t>avverkningsanmälan</t>
        </is>
      </c>
      <c r="C40" t="inlineStr">
        <is>
          <t>Föryngringsavverkning</t>
        </is>
      </c>
      <c r="D40" s="1" t="n">
        <v>45547</v>
      </c>
      <c r="E40" s="1" t="n">
        <v>46231</v>
      </c>
      <c r="F40" t="inlineStr">
        <is>
          <t>SKÅNE LÄN</t>
        </is>
      </c>
      <c r="G40" t="inlineStr">
        <is>
          <t>TOMELILLA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44675-2024</t>
        </is>
      </c>
      <c r="B41" t="inlineStr">
        <is>
          <t>avverkningsanmälan</t>
        </is>
      </c>
      <c r="C41" t="inlineStr">
        <is>
          <t>Avverkning för att bevara och utveckla /försöksver</t>
        </is>
      </c>
      <c r="D41" s="1" t="n">
        <v>45574</v>
      </c>
      <c r="E41" s="1" t="n">
        <v>46231</v>
      </c>
      <c r="F41" t="inlineStr">
        <is>
          <t>SKÅNE LÄN</t>
        </is>
      </c>
      <c r="G41" t="inlineStr">
        <is>
          <t>TOMELILLA</t>
        </is>
      </c>
      <c r="H41" t="inlineStr">
        <is>
          <t>Sveaskog</t>
        </is>
      </c>
      <c r="I41" t="n">
        <v>11.2</v>
      </c>
      <c r="J41" t="n">
        <v>0</v>
      </c>
      <c r="K41" t="n">
        <v>0</v>
      </c>
      <c r="L41" t="n">
        <v>0</v>
      </c>
      <c r="M41" t="n">
        <v>0</v>
      </c>
      <c r="N41" t="n">
        <v>0</v>
      </c>
      <c r="O41" t="n">
        <v>0</v>
      </c>
      <c r="P41" t="n">
        <v>0</v>
      </c>
      <c r="Q41" t="n">
        <v>0</v>
      </c>
      <c r="R41" t="n">
        <v>0</v>
      </c>
      <c r="S41" t="n">
        <v>0</v>
      </c>
      <c r="T41" t="n">
        <v>0</v>
      </c>
      <c r="U41" t="n">
        <v>0</v>
      </c>
      <c r="V41" s="2" t="inlineStr"/>
    </row>
    <row r="42" ht="15" customHeight="1">
      <c r="A42" t="inlineStr">
        <is>
          <t>A 45729-2024</t>
        </is>
      </c>
      <c r="B42" t="inlineStr">
        <is>
          <t>avverkningsanmälan</t>
        </is>
      </c>
      <c r="C42" t="inlineStr">
        <is>
          <t>Föryngringsavverkning</t>
        </is>
      </c>
      <c r="D42" s="1" t="n">
        <v>45579</v>
      </c>
      <c r="E42" s="1" t="n">
        <v>46231</v>
      </c>
      <c r="F42" t="inlineStr">
        <is>
          <t>SKÅNE LÄN</t>
        </is>
      </c>
      <c r="G42" t="inlineStr">
        <is>
          <t>TOMELILLA</t>
        </is>
      </c>
      <c r="I42" t="n">
        <v>10.1</v>
      </c>
      <c r="J42" t="n">
        <v>0</v>
      </c>
      <c r="K42" t="n">
        <v>0</v>
      </c>
      <c r="L42" t="n">
        <v>0</v>
      </c>
      <c r="M42" t="n">
        <v>0</v>
      </c>
      <c r="N42" t="n">
        <v>0</v>
      </c>
      <c r="O42" t="n">
        <v>0</v>
      </c>
      <c r="P42" t="n">
        <v>0</v>
      </c>
      <c r="Q42" t="n">
        <v>0</v>
      </c>
      <c r="R42" t="n">
        <v>0</v>
      </c>
      <c r="S42" t="n">
        <v>0</v>
      </c>
      <c r="T42" t="n">
        <v>0</v>
      </c>
      <c r="U42" t="n">
        <v>0</v>
      </c>
      <c r="V42" s="2" t="inlineStr"/>
    </row>
    <row r="43" ht="15" customHeight="1">
      <c r="A43" t="inlineStr">
        <is>
          <t>A 17316-2024</t>
        </is>
      </c>
      <c r="B43" t="inlineStr">
        <is>
          <t>avverkningsanmälan</t>
        </is>
      </c>
      <c r="C43" t="inlineStr">
        <is>
          <t>Föryngringsavverkning</t>
        </is>
      </c>
      <c r="D43" s="1" t="n">
        <v>45414</v>
      </c>
      <c r="E43" s="1" t="n">
        <v>46231</v>
      </c>
      <c r="F43" t="inlineStr">
        <is>
          <t>SKÅNE LÄN</t>
        </is>
      </c>
      <c r="G43" t="inlineStr">
        <is>
          <t>TOMELILLA</t>
        </is>
      </c>
      <c r="H43" t="inlineStr">
        <is>
          <t>Övriga Aktiebolag</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11811-2025</t>
        </is>
      </c>
      <c r="B44" t="inlineStr">
        <is>
          <t>avverkningsanmälan</t>
        </is>
      </c>
      <c r="C44" t="inlineStr">
        <is>
          <t>Föryngringsavverkning</t>
        </is>
      </c>
      <c r="D44" s="1" t="n">
        <v>45727</v>
      </c>
      <c r="E44" s="1" t="n">
        <v>46231</v>
      </c>
      <c r="F44" t="inlineStr">
        <is>
          <t>SKÅNE LÄN</t>
        </is>
      </c>
      <c r="G44" t="inlineStr">
        <is>
          <t>TOMELILLA</t>
        </is>
      </c>
      <c r="I44" t="n">
        <v>9.699999999999999</v>
      </c>
      <c r="J44" t="n">
        <v>0</v>
      </c>
      <c r="K44" t="n">
        <v>0</v>
      </c>
      <c r="L44" t="n">
        <v>0</v>
      </c>
      <c r="M44" t="n">
        <v>0</v>
      </c>
      <c r="N44" t="n">
        <v>0</v>
      </c>
      <c r="O44" t="n">
        <v>0</v>
      </c>
      <c r="P44" t="n">
        <v>0</v>
      </c>
      <c r="Q44" t="n">
        <v>0</v>
      </c>
      <c r="R44" t="n">
        <v>0</v>
      </c>
      <c r="S44" t="n">
        <v>0</v>
      </c>
      <c r="T44" t="n">
        <v>0</v>
      </c>
      <c r="U44" t="n">
        <v>0</v>
      </c>
      <c r="V44" s="2" t="inlineStr"/>
    </row>
    <row r="45" ht="15" customHeight="1">
      <c r="A45" t="inlineStr">
        <is>
          <t>A 49815-2025</t>
        </is>
      </c>
      <c r="B45" t="inlineStr">
        <is>
          <t>avverkningsanmälan</t>
        </is>
      </c>
      <c r="C45" t="inlineStr">
        <is>
          <t>Föryngringsavverkning</t>
        </is>
      </c>
      <c r="D45" s="1" t="n">
        <v>45940</v>
      </c>
      <c r="E45" s="1" t="n">
        <v>46231</v>
      </c>
      <c r="F45" t="inlineStr">
        <is>
          <t>SKÅNE LÄN</t>
        </is>
      </c>
      <c r="G45" t="inlineStr">
        <is>
          <t>TOMELILLA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4969-2026</t>
        </is>
      </c>
      <c r="B46" t="inlineStr">
        <is>
          <t>avverkningsanmälan</t>
        </is>
      </c>
      <c r="C46" t="inlineStr">
        <is>
          <t>Föryngringsavverkning</t>
        </is>
      </c>
      <c r="D46" s="1" t="n">
        <v>46049</v>
      </c>
      <c r="E46" s="1" t="n">
        <v>46231</v>
      </c>
      <c r="F46" t="inlineStr">
        <is>
          <t>SKÅNE LÄN</t>
        </is>
      </c>
      <c r="G46" t="inlineStr">
        <is>
          <t>TOMELILLA</t>
        </is>
      </c>
      <c r="H46" t="inlineStr">
        <is>
          <t>Övriga Aktiebolag</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16568-2024</t>
        </is>
      </c>
      <c r="B47" t="inlineStr">
        <is>
          <t>avverkningsanmälan</t>
        </is>
      </c>
      <c r="C47" t="inlineStr">
        <is>
          <t>Föryngringsavverkning</t>
        </is>
      </c>
      <c r="D47" s="1" t="n">
        <v>45408</v>
      </c>
      <c r="E47" s="1" t="n">
        <v>46231</v>
      </c>
      <c r="F47" t="inlineStr">
        <is>
          <t>SKÅNE LÄN</t>
        </is>
      </c>
      <c r="G47" t="inlineStr">
        <is>
          <t>TOMELILLA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12310-2023</t>
        </is>
      </c>
      <c r="B48" t="inlineStr">
        <is>
          <t>avverkningsanmälan</t>
        </is>
      </c>
      <c r="C48" t="inlineStr">
        <is>
          <t>Föryngringsavverkning</t>
        </is>
      </c>
      <c r="D48" s="1" t="n">
        <v>44999</v>
      </c>
      <c r="E48" s="1" t="n">
        <v>46231</v>
      </c>
      <c r="F48" t="inlineStr">
        <is>
          <t>SKÅNE LÄN</t>
        </is>
      </c>
      <c r="G48" t="inlineStr">
        <is>
          <t>TOMELILLA</t>
        </is>
      </c>
      <c r="H48" t="inlineStr">
        <is>
          <t>Sveaskog</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60817-2023</t>
        </is>
      </c>
      <c r="B49" t="inlineStr">
        <is>
          <t>avverkningsanmälan</t>
        </is>
      </c>
      <c r="C49" t="inlineStr">
        <is>
          <t>Föryngringsavverkning</t>
        </is>
      </c>
      <c r="D49" s="1" t="n">
        <v>45260</v>
      </c>
      <c r="E49" s="1" t="n">
        <v>46231</v>
      </c>
      <c r="F49" t="inlineStr">
        <is>
          <t>SKÅNE LÄN</t>
        </is>
      </c>
      <c r="G49" t="inlineStr">
        <is>
          <t>TOMELILLA</t>
        </is>
      </c>
      <c r="I49" t="n">
        <v>4.3</v>
      </c>
      <c r="J49" t="n">
        <v>0</v>
      </c>
      <c r="K49" t="n">
        <v>0</v>
      </c>
      <c r="L49" t="n">
        <v>0</v>
      </c>
      <c r="M49" t="n">
        <v>0</v>
      </c>
      <c r="N49" t="n">
        <v>0</v>
      </c>
      <c r="O49" t="n">
        <v>0</v>
      </c>
      <c r="P49" t="n">
        <v>0</v>
      </c>
      <c r="Q49" t="n">
        <v>0</v>
      </c>
      <c r="R49" t="n">
        <v>0</v>
      </c>
      <c r="S49" t="n">
        <v>0</v>
      </c>
      <c r="T49" t="n">
        <v>0</v>
      </c>
      <c r="U49" t="n">
        <v>0</v>
      </c>
      <c r="V49" s="2" t="inlineStr"/>
    </row>
    <row r="50" ht="15" customHeight="1">
      <c r="A50" t="inlineStr">
        <is>
          <t>A 7955-2024</t>
        </is>
      </c>
      <c r="B50" t="inlineStr">
        <is>
          <t>avverkningsanmälan</t>
        </is>
      </c>
      <c r="C50" t="inlineStr">
        <is>
          <t>Föryngringsavverkning</t>
        </is>
      </c>
      <c r="D50" s="1" t="n">
        <v>45350</v>
      </c>
      <c r="E50" s="1" t="n">
        <v>46231</v>
      </c>
      <c r="F50" t="inlineStr">
        <is>
          <t>SKÅNE LÄN</t>
        </is>
      </c>
      <c r="G50" t="inlineStr">
        <is>
          <t>TOMELILLA</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42794-2024</t>
        </is>
      </c>
      <c r="B51" t="inlineStr">
        <is>
          <t>avverkningsanmälan</t>
        </is>
      </c>
      <c r="C51" t="inlineStr">
        <is>
          <t>Föryngringsavverkning</t>
        </is>
      </c>
      <c r="D51" s="1" t="n">
        <v>45566</v>
      </c>
      <c r="E51" s="1" t="n">
        <v>46231</v>
      </c>
      <c r="F51" t="inlineStr">
        <is>
          <t>SKÅNE LÄN</t>
        </is>
      </c>
      <c r="G51" t="inlineStr">
        <is>
          <t>TOMELILLA</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2190-2022</t>
        </is>
      </c>
      <c r="B52" t="inlineStr">
        <is>
          <t>avverkningsanmälan</t>
        </is>
      </c>
      <c r="C52" t="inlineStr">
        <is>
          <t>Föryngringsavverkning</t>
        </is>
      </c>
      <c r="D52" s="1" t="n">
        <v>44578</v>
      </c>
      <c r="E52" s="1" t="n">
        <v>46231</v>
      </c>
      <c r="F52" t="inlineStr">
        <is>
          <t>SKÅNE LÄN</t>
        </is>
      </c>
      <c r="G52" t="inlineStr">
        <is>
          <t>TOMELILLA</t>
        </is>
      </c>
      <c r="H52" t="inlineStr">
        <is>
          <t>Sveaskog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10272-2023</t>
        </is>
      </c>
      <c r="B53" t="inlineStr">
        <is>
          <t>avverkningsanmälan</t>
        </is>
      </c>
      <c r="C53" t="inlineStr">
        <is>
          <t>Föryngringsavverkning</t>
        </is>
      </c>
      <c r="D53" s="1" t="n">
        <v>44986</v>
      </c>
      <c r="E53" s="1" t="n">
        <v>46231</v>
      </c>
      <c r="F53" t="inlineStr">
        <is>
          <t>SKÅNE LÄN</t>
        </is>
      </c>
      <c r="G53" t="inlineStr">
        <is>
          <t>TOMELILLA</t>
        </is>
      </c>
      <c r="H53" t="inlineStr">
        <is>
          <t>Övriga Aktiebolag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35792-2025</t>
        </is>
      </c>
      <c r="B54" t="inlineStr">
        <is>
          <t>avverkningsanmälan</t>
        </is>
      </c>
      <c r="C54" t="inlineStr">
        <is>
          <t>Föryngringsavverkning</t>
        </is>
      </c>
      <c r="D54" s="1" t="n">
        <v>45861</v>
      </c>
      <c r="E54" s="1" t="n">
        <v>46231</v>
      </c>
      <c r="F54" t="inlineStr">
        <is>
          <t>SKÅNE LÄN</t>
        </is>
      </c>
      <c r="G54" t="inlineStr">
        <is>
          <t>TOMELILLA</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55676-2022</t>
        </is>
      </c>
      <c r="B55" t="inlineStr">
        <is>
          <t>avverkningsanmälan</t>
        </is>
      </c>
      <c r="C55" t="inlineStr">
        <is>
          <t>Föryngringsavverkning</t>
        </is>
      </c>
      <c r="D55" s="1" t="n">
        <v>44888</v>
      </c>
      <c r="E55" s="1" t="n">
        <v>46231</v>
      </c>
      <c r="F55" t="inlineStr">
        <is>
          <t>SKÅNE LÄN</t>
        </is>
      </c>
      <c r="G55" t="inlineStr">
        <is>
          <t>TOMELILLA</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35971-2025</t>
        </is>
      </c>
      <c r="B56" t="inlineStr">
        <is>
          <t>avverkningsanmälan</t>
        </is>
      </c>
      <c r="C56" t="inlineStr">
        <is>
          <t>Föryngringsavverkning</t>
        </is>
      </c>
      <c r="D56" s="1" t="n">
        <v>45863</v>
      </c>
      <c r="E56" s="1" t="n">
        <v>46231</v>
      </c>
      <c r="F56" t="inlineStr">
        <is>
          <t>SKÅNE LÄN</t>
        </is>
      </c>
      <c r="G56" t="inlineStr">
        <is>
          <t>TOMELILLA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30806-2023</t>
        </is>
      </c>
      <c r="B57" t="inlineStr">
        <is>
          <t>avverkningsanmälan</t>
        </is>
      </c>
      <c r="C57" t="inlineStr">
        <is>
          <t>Föryngringsavverkning</t>
        </is>
      </c>
      <c r="D57" s="1" t="n">
        <v>45112</v>
      </c>
      <c r="E57" s="1" t="n">
        <v>46231</v>
      </c>
      <c r="F57" t="inlineStr">
        <is>
          <t>SKÅNE LÄN</t>
        </is>
      </c>
      <c r="G57" t="inlineStr">
        <is>
          <t>TOMELILLA</t>
        </is>
      </c>
      <c r="H57" t="inlineStr">
        <is>
          <t>Övriga Aktiebolag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61970-2025</t>
        </is>
      </c>
      <c r="B58" t="inlineStr">
        <is>
          <t>avverkningsanmälan</t>
        </is>
      </c>
      <c r="C58" t="inlineStr">
        <is>
          <t>Avverkning för annat ändamål</t>
        </is>
      </c>
      <c r="D58" s="1" t="n">
        <v>46003</v>
      </c>
      <c r="E58" s="1" t="n">
        <v>46231</v>
      </c>
      <c r="F58" t="inlineStr">
        <is>
          <t>SKÅNE LÄN</t>
        </is>
      </c>
      <c r="G58" t="inlineStr">
        <is>
          <t>TOMELILLA</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6316-2024</t>
        </is>
      </c>
      <c r="B59" t="inlineStr">
        <is>
          <t>avverkningsanmälan</t>
        </is>
      </c>
      <c r="C59" t="inlineStr">
        <is>
          <t>Föryngringsavverkning</t>
        </is>
      </c>
      <c r="D59" s="1" t="n">
        <v>45338</v>
      </c>
      <c r="E59" s="1" t="n">
        <v>46231</v>
      </c>
      <c r="F59" t="inlineStr">
        <is>
          <t>SKÅNE LÄN</t>
        </is>
      </c>
      <c r="G59" t="inlineStr">
        <is>
          <t>TOMELILLA</t>
        </is>
      </c>
      <c r="H59" t="inlineStr">
        <is>
          <t>Övriga Aktiebolag</t>
        </is>
      </c>
      <c r="I59" t="n">
        <v>28.6</v>
      </c>
      <c r="J59" t="n">
        <v>0</v>
      </c>
      <c r="K59" t="n">
        <v>0</v>
      </c>
      <c r="L59" t="n">
        <v>0</v>
      </c>
      <c r="M59" t="n">
        <v>0</v>
      </c>
      <c r="N59" t="n">
        <v>0</v>
      </c>
      <c r="O59" t="n">
        <v>0</v>
      </c>
      <c r="P59" t="n">
        <v>0</v>
      </c>
      <c r="Q59" t="n">
        <v>0</v>
      </c>
      <c r="R59" t="n">
        <v>0</v>
      </c>
      <c r="S59" t="n">
        <v>0</v>
      </c>
      <c r="T59" t="n">
        <v>0</v>
      </c>
      <c r="U59" t="n">
        <v>0</v>
      </c>
      <c r="V59" s="2" t="inlineStr"/>
    </row>
    <row r="60" ht="15" customHeight="1">
      <c r="A60" t="inlineStr">
        <is>
          <t>A 6124-2026</t>
        </is>
      </c>
      <c r="B60" t="inlineStr">
        <is>
          <t>avverkningsanmälan</t>
        </is>
      </c>
      <c r="C60" t="inlineStr">
        <is>
          <t>Föryngringsavverkning</t>
        </is>
      </c>
      <c r="D60" s="1" t="n">
        <v>46053</v>
      </c>
      <c r="E60" s="1" t="n">
        <v>46231</v>
      </c>
      <c r="F60" t="inlineStr">
        <is>
          <t>SKÅNE LÄN</t>
        </is>
      </c>
      <c r="G60" t="inlineStr">
        <is>
          <t>TOMELILLA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8455-2024</t>
        </is>
      </c>
      <c r="B61" t="inlineStr">
        <is>
          <t>avverkningsanmälan</t>
        </is>
      </c>
      <c r="C61" t="inlineStr">
        <is>
          <t>Föryngringsavverkning</t>
        </is>
      </c>
      <c r="D61" s="1" t="n">
        <v>45354</v>
      </c>
      <c r="E61" s="1" t="n">
        <v>46231</v>
      </c>
      <c r="F61" t="inlineStr">
        <is>
          <t>SKÅNE LÄN</t>
        </is>
      </c>
      <c r="G61" t="inlineStr">
        <is>
          <t>TOMELILLA</t>
        </is>
      </c>
      <c r="H61" t="inlineStr">
        <is>
          <t>Övriga Aktiebolag</t>
        </is>
      </c>
      <c r="I61" t="n">
        <v>5.1</v>
      </c>
      <c r="J61" t="n">
        <v>0</v>
      </c>
      <c r="K61" t="n">
        <v>0</v>
      </c>
      <c r="L61" t="n">
        <v>0</v>
      </c>
      <c r="M61" t="n">
        <v>0</v>
      </c>
      <c r="N61" t="n">
        <v>0</v>
      </c>
      <c r="O61" t="n">
        <v>0</v>
      </c>
      <c r="P61" t="n">
        <v>0</v>
      </c>
      <c r="Q61" t="n">
        <v>0</v>
      </c>
      <c r="R61" t="n">
        <v>0</v>
      </c>
      <c r="S61" t="n">
        <v>0</v>
      </c>
      <c r="T61" t="n">
        <v>0</v>
      </c>
      <c r="U61" t="n">
        <v>0</v>
      </c>
      <c r="V61" s="2" t="inlineStr"/>
    </row>
    <row r="62" ht="15" customHeight="1">
      <c r="A62" t="inlineStr">
        <is>
          <t>A 15158-2025</t>
        </is>
      </c>
      <c r="B62" t="inlineStr">
        <is>
          <t>avverkningsanmälan</t>
        </is>
      </c>
      <c r="C62" t="inlineStr">
        <is>
          <t>Föryngringsavverkning</t>
        </is>
      </c>
      <c r="D62" s="1" t="n">
        <v>45744</v>
      </c>
      <c r="E62" s="1" t="n">
        <v>46231</v>
      </c>
      <c r="F62" t="inlineStr">
        <is>
          <t>SKÅNE LÄN</t>
        </is>
      </c>
      <c r="G62" t="inlineStr">
        <is>
          <t>TOMELILLA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13159-2024</t>
        </is>
      </c>
      <c r="B63" t="inlineStr">
        <is>
          <t>avverkningsanmälan</t>
        </is>
      </c>
      <c r="C63" t="inlineStr">
        <is>
          <t>Föryngringsavverkning</t>
        </is>
      </c>
      <c r="D63" s="1" t="n">
        <v>45386</v>
      </c>
      <c r="E63" s="1" t="n">
        <v>46231</v>
      </c>
      <c r="F63" t="inlineStr">
        <is>
          <t>SKÅNE LÄN</t>
        </is>
      </c>
      <c r="G63" t="inlineStr">
        <is>
          <t>TOMELILLA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16621-2026</t>
        </is>
      </c>
      <c r="B64" t="inlineStr">
        <is>
          <t>avverkningsanmälan</t>
        </is>
      </c>
      <c r="C64" t="inlineStr">
        <is>
          <t>Föryngringsavverkning</t>
        </is>
      </c>
      <c r="D64" s="1" t="n">
        <v>46112</v>
      </c>
      <c r="E64" s="1" t="n">
        <v>46231</v>
      </c>
      <c r="F64" t="inlineStr">
        <is>
          <t>SKÅNE LÄN</t>
        </is>
      </c>
      <c r="G64" t="inlineStr">
        <is>
          <t>TOMELILLA</t>
        </is>
      </c>
      <c r="H64" t="inlineStr">
        <is>
          <t>Kommuner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43306-2025</t>
        </is>
      </c>
      <c r="B65" t="inlineStr">
        <is>
          <t>avverkningsanmälan</t>
        </is>
      </c>
      <c r="C65" t="inlineStr">
        <is>
          <t>Föryngringsavverkning</t>
        </is>
      </c>
      <c r="D65" s="1" t="n">
        <v>45910</v>
      </c>
      <c r="E65" s="1" t="n">
        <v>46231</v>
      </c>
      <c r="F65" t="inlineStr">
        <is>
          <t>SKÅNE LÄN</t>
        </is>
      </c>
      <c r="G65" t="inlineStr">
        <is>
          <t>TOMELILLA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61841-2025</t>
        </is>
      </c>
      <c r="B66" t="inlineStr">
        <is>
          <t>avverkningsanmälan</t>
        </is>
      </c>
      <c r="C66" t="inlineStr">
        <is>
          <t>Föryngringsavverkning</t>
        </is>
      </c>
      <c r="D66" s="1" t="n">
        <v>46003</v>
      </c>
      <c r="E66" s="1" t="n">
        <v>46231</v>
      </c>
      <c r="F66" t="inlineStr">
        <is>
          <t>SKÅNE LÄN</t>
        </is>
      </c>
      <c r="G66" t="inlineStr">
        <is>
          <t>TOMELILLA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7745-2025</t>
        </is>
      </c>
      <c r="B67" t="inlineStr">
        <is>
          <t>avverkningsanmälan</t>
        </is>
      </c>
      <c r="C67" t="inlineStr">
        <is>
          <t>Avverkning för annat ändamål</t>
        </is>
      </c>
      <c r="D67" s="1" t="n">
        <v>45706</v>
      </c>
      <c r="E67" s="1" t="n">
        <v>46231</v>
      </c>
      <c r="F67" t="inlineStr">
        <is>
          <t>SKÅNE LÄN</t>
        </is>
      </c>
      <c r="G67" t="inlineStr">
        <is>
          <t>TOMELILLA</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15921-2025</t>
        </is>
      </c>
      <c r="B68" t="inlineStr">
        <is>
          <t>avverkningsanmälan</t>
        </is>
      </c>
      <c r="C68" t="inlineStr">
        <is>
          <t>Föryngringsavverkning</t>
        </is>
      </c>
      <c r="D68" s="1" t="n">
        <v>45749</v>
      </c>
      <c r="E68" s="1" t="n">
        <v>46231</v>
      </c>
      <c r="F68" t="inlineStr">
        <is>
          <t>SKÅNE LÄN</t>
        </is>
      </c>
      <c r="G68" t="inlineStr">
        <is>
          <t>TOMELILLA</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15305-2025</t>
        </is>
      </c>
      <c r="B69" t="inlineStr">
        <is>
          <t>avverkningsanmälan</t>
        </is>
      </c>
      <c r="C69" t="inlineStr">
        <is>
          <t>Avverkning för annat ändamål</t>
        </is>
      </c>
      <c r="D69" s="1" t="n">
        <v>45746</v>
      </c>
      <c r="E69" s="1" t="n">
        <v>46231</v>
      </c>
      <c r="F69" t="inlineStr">
        <is>
          <t>SKÅNE LÄN</t>
        </is>
      </c>
      <c r="G69" t="inlineStr">
        <is>
          <t>TOMELILLA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28966-2022</t>
        </is>
      </c>
      <c r="B70" t="inlineStr">
        <is>
          <t>avverkningsanmälan</t>
        </is>
      </c>
      <c r="C70" t="inlineStr">
        <is>
          <t>Avverkning för annat ändamål</t>
        </is>
      </c>
      <c r="D70" s="1" t="n">
        <v>44749</v>
      </c>
      <c r="E70" s="1" t="n">
        <v>46231</v>
      </c>
      <c r="F70" t="inlineStr">
        <is>
          <t>SKÅNE LÄN</t>
        </is>
      </c>
      <c r="G70" t="inlineStr">
        <is>
          <t>TOMELILLA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4482-2026</t>
        </is>
      </c>
      <c r="B71" t="inlineStr">
        <is>
          <t>avverkningsanmälan</t>
        </is>
      </c>
      <c r="C71" t="inlineStr">
        <is>
          <t>Föryngringsavverkning</t>
        </is>
      </c>
      <c r="D71" s="1" t="n">
        <v>46045</v>
      </c>
      <c r="E71" s="1" t="n">
        <v>46231</v>
      </c>
      <c r="F71" t="inlineStr">
        <is>
          <t>SKÅNE LÄN</t>
        </is>
      </c>
      <c r="G71" t="inlineStr">
        <is>
          <t>TOMELILLA</t>
        </is>
      </c>
      <c r="H71" t="inlineStr">
        <is>
          <t>Övriga Aktiebolag</t>
        </is>
      </c>
      <c r="I71" t="n">
        <v>6.5</v>
      </c>
      <c r="J71" t="n">
        <v>0</v>
      </c>
      <c r="K71" t="n">
        <v>0</v>
      </c>
      <c r="L71" t="n">
        <v>0</v>
      </c>
      <c r="M71" t="n">
        <v>0</v>
      </c>
      <c r="N71" t="n">
        <v>0</v>
      </c>
      <c r="O71" t="n">
        <v>0</v>
      </c>
      <c r="P71" t="n">
        <v>0</v>
      </c>
      <c r="Q71" t="n">
        <v>0</v>
      </c>
      <c r="R71" t="n">
        <v>0</v>
      </c>
      <c r="S71" t="n">
        <v>0</v>
      </c>
      <c r="T71" t="n">
        <v>0</v>
      </c>
      <c r="U71" t="n">
        <v>0</v>
      </c>
      <c r="V71" s="2" t="inlineStr"/>
    </row>
    <row r="72" ht="15" customHeight="1">
      <c r="A72" t="inlineStr">
        <is>
          <t>A 6852-2026</t>
        </is>
      </c>
      <c r="B72" t="inlineStr">
        <is>
          <t>avverkningsanmälan</t>
        </is>
      </c>
      <c r="C72" t="inlineStr">
        <is>
          <t>Föryngringsavverkning</t>
        </is>
      </c>
      <c r="D72" s="1" t="n">
        <v>46057</v>
      </c>
      <c r="E72" s="1" t="n">
        <v>46231</v>
      </c>
      <c r="F72" t="inlineStr">
        <is>
          <t>SKÅNE LÄN</t>
        </is>
      </c>
      <c r="G72" t="inlineStr">
        <is>
          <t>TOMELILLA</t>
        </is>
      </c>
      <c r="H72" t="inlineStr">
        <is>
          <t>Övriga Aktiebolag</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578-2024</t>
        </is>
      </c>
      <c r="B73" t="inlineStr">
        <is>
          <t>avverkningsanmälan</t>
        </is>
      </c>
      <c r="C73" t="inlineStr">
        <is>
          <t>Föryngringsavverkning</t>
        </is>
      </c>
      <c r="D73" s="1" t="n">
        <v>45299</v>
      </c>
      <c r="E73" s="1" t="n">
        <v>46231</v>
      </c>
      <c r="F73" t="inlineStr">
        <is>
          <t>SKÅNE LÄN</t>
        </is>
      </c>
      <c r="G73" t="inlineStr">
        <is>
          <t>TOMELILLA</t>
        </is>
      </c>
      <c r="H73" t="inlineStr">
        <is>
          <t>Övriga Aktiebolag</t>
        </is>
      </c>
      <c r="I73" t="n">
        <v>67.40000000000001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12988-2024</t>
        </is>
      </c>
      <c r="B74" t="inlineStr">
        <is>
          <t>avverkningsanmälan</t>
        </is>
      </c>
      <c r="C74" t="inlineStr">
        <is>
          <t>Föryngringsavverkning</t>
        </is>
      </c>
      <c r="D74" s="1" t="n">
        <v>45385</v>
      </c>
      <c r="E74" s="1" t="n">
        <v>46231</v>
      </c>
      <c r="F74" t="inlineStr">
        <is>
          <t>SKÅNE LÄN</t>
        </is>
      </c>
      <c r="G74" t="inlineStr">
        <is>
          <t>TOMELILLA</t>
        </is>
      </c>
      <c r="H74" t="inlineStr">
        <is>
          <t>Övriga Aktiebolag</t>
        </is>
      </c>
      <c r="I74" t="n">
        <v>16.2</v>
      </c>
      <c r="J74" t="n">
        <v>0</v>
      </c>
      <c r="K74" t="n">
        <v>0</v>
      </c>
      <c r="L74" t="n">
        <v>0</v>
      </c>
      <c r="M74" t="n">
        <v>0</v>
      </c>
      <c r="N74" t="n">
        <v>0</v>
      </c>
      <c r="O74" t="n">
        <v>0</v>
      </c>
      <c r="P74" t="n">
        <v>0</v>
      </c>
      <c r="Q74" t="n">
        <v>0</v>
      </c>
      <c r="R74" t="n">
        <v>0</v>
      </c>
      <c r="S74" t="n">
        <v>0</v>
      </c>
      <c r="T74" t="n">
        <v>0</v>
      </c>
      <c r="U74" t="n">
        <v>0</v>
      </c>
      <c r="V74" s="2" t="inlineStr"/>
    </row>
    <row r="75" ht="15" customHeight="1">
      <c r="A75" t="inlineStr">
        <is>
          <t>A 21291-2026</t>
        </is>
      </c>
      <c r="B75" t="inlineStr">
        <is>
          <t>avverkningsanmälan</t>
        </is>
      </c>
      <c r="C75" t="inlineStr">
        <is>
          <t>Föryngringsavverkning</t>
        </is>
      </c>
      <c r="D75" s="1" t="n">
        <v>46147</v>
      </c>
      <c r="E75" s="1" t="n">
        <v>46231</v>
      </c>
      <c r="F75" t="inlineStr">
        <is>
          <t>SKÅNE LÄN</t>
        </is>
      </c>
      <c r="G75" t="inlineStr">
        <is>
          <t>TOMELILLA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21293-2026</t>
        </is>
      </c>
      <c r="B76" t="inlineStr">
        <is>
          <t>avverkningsanmälan</t>
        </is>
      </c>
      <c r="C76" t="inlineStr">
        <is>
          <t>Föryngringsavverkning</t>
        </is>
      </c>
      <c r="D76" s="1" t="n">
        <v>46147</v>
      </c>
      <c r="E76" s="1" t="n">
        <v>46231</v>
      </c>
      <c r="F76" t="inlineStr">
        <is>
          <t>SKÅNE LÄN</t>
        </is>
      </c>
      <c r="G76" t="inlineStr">
        <is>
          <t>TOMELILLA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48171-2025</t>
        </is>
      </c>
      <c r="B77" t="inlineStr">
        <is>
          <t>avverkningsanmälan</t>
        </is>
      </c>
      <c r="C77" t="inlineStr">
        <is>
          <t>Föryngringsavverkning</t>
        </is>
      </c>
      <c r="D77" s="1" t="n">
        <v>45933</v>
      </c>
      <c r="E77" s="1" t="n">
        <v>46231</v>
      </c>
      <c r="F77" t="inlineStr">
        <is>
          <t>SKÅNE LÄN</t>
        </is>
      </c>
      <c r="G77" t="inlineStr">
        <is>
          <t>TOMELILLA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4677-2023</t>
        </is>
      </c>
      <c r="B78" t="inlineStr">
        <is>
          <t>avverkningsanmälan</t>
        </is>
      </c>
      <c r="C78" t="inlineStr">
        <is>
          <t>Föryngringsavverkning</t>
        </is>
      </c>
      <c r="D78" s="1" t="n">
        <v>44952</v>
      </c>
      <c r="E78" s="1" t="n">
        <v>46231</v>
      </c>
      <c r="F78" t="inlineStr">
        <is>
          <t>SKÅNE LÄN</t>
        </is>
      </c>
      <c r="G78" t="inlineStr">
        <is>
          <t>TOMELILLA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4018-2024</t>
        </is>
      </c>
      <c r="B79" t="inlineStr">
        <is>
          <t>avverkningsanmälan</t>
        </is>
      </c>
      <c r="C79" t="inlineStr">
        <is>
          <t>Föryngringsavverkning</t>
        </is>
      </c>
      <c r="D79" s="1" t="n">
        <v>45323</v>
      </c>
      <c r="E79" s="1" t="n">
        <v>46231</v>
      </c>
      <c r="F79" t="inlineStr">
        <is>
          <t>SKÅNE LÄN</t>
        </is>
      </c>
      <c r="G79" t="inlineStr">
        <is>
          <t>TOMELILLA</t>
        </is>
      </c>
      <c r="H79" t="inlineStr">
        <is>
          <t>Övriga Aktiebolag</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15288-2026</t>
        </is>
      </c>
      <c r="B80" t="inlineStr">
        <is>
          <t>avverkningsanmälan</t>
        </is>
      </c>
      <c r="C80" t="inlineStr">
        <is>
          <t>Föryngringsavverkning</t>
        </is>
      </c>
      <c r="D80" s="1" t="n">
        <v>46105</v>
      </c>
      <c r="E80" s="1" t="n">
        <v>46231</v>
      </c>
      <c r="F80" t="inlineStr">
        <is>
          <t>SKÅNE LÄN</t>
        </is>
      </c>
      <c r="G80" t="inlineStr">
        <is>
          <t>TOMELILLA</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39796-2025</t>
        </is>
      </c>
      <c r="B81" t="inlineStr">
        <is>
          <t>avverkningsanmälan</t>
        </is>
      </c>
      <c r="C81" t="inlineStr">
        <is>
          <t>Föryngringsavverkning</t>
        </is>
      </c>
      <c r="D81" s="1" t="n">
        <v>45891</v>
      </c>
      <c r="E81" s="1" t="n">
        <v>46231</v>
      </c>
      <c r="F81" t="inlineStr">
        <is>
          <t>SKÅNE LÄN</t>
        </is>
      </c>
      <c r="G81" t="inlineStr">
        <is>
          <t>TOMELILLA</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39791-2025</t>
        </is>
      </c>
      <c r="B82" t="inlineStr">
        <is>
          <t>avverkningsanmälan</t>
        </is>
      </c>
      <c r="C82" t="inlineStr">
        <is>
          <t>Föryngringsavverkning</t>
        </is>
      </c>
      <c r="D82" s="1" t="n">
        <v>45891</v>
      </c>
      <c r="E82" s="1" t="n">
        <v>46231</v>
      </c>
      <c r="F82" t="inlineStr">
        <is>
          <t>SKÅNE LÄN</t>
        </is>
      </c>
      <c r="G82" t="inlineStr">
        <is>
          <t>TOMELILLA</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15012-2024</t>
        </is>
      </c>
      <c r="B83" t="inlineStr">
        <is>
          <t>avverkningsanmälan</t>
        </is>
      </c>
      <c r="C83" t="inlineStr">
        <is>
          <t>Föryngringsavverkning</t>
        </is>
      </c>
      <c r="D83" s="1" t="n">
        <v>45399</v>
      </c>
      <c r="E83" s="1" t="n">
        <v>46231</v>
      </c>
      <c r="F83" t="inlineStr">
        <is>
          <t>SKÅNE LÄN</t>
        </is>
      </c>
      <c r="G83" t="inlineStr">
        <is>
          <t>TOMELILLA</t>
        </is>
      </c>
      <c r="I83" t="n">
        <v>6.9</v>
      </c>
      <c r="J83" t="n">
        <v>0</v>
      </c>
      <c r="K83" t="n">
        <v>0</v>
      </c>
      <c r="L83" t="n">
        <v>0</v>
      </c>
      <c r="M83" t="n">
        <v>0</v>
      </c>
      <c r="N83" t="n">
        <v>0</v>
      </c>
      <c r="O83" t="n">
        <v>0</v>
      </c>
      <c r="P83" t="n">
        <v>0</v>
      </c>
      <c r="Q83" t="n">
        <v>0</v>
      </c>
      <c r="R83" t="n">
        <v>0</v>
      </c>
      <c r="S83" t="n">
        <v>0</v>
      </c>
      <c r="T83" t="n">
        <v>0</v>
      </c>
      <c r="U83" t="n">
        <v>0</v>
      </c>
      <c r="V83" s="2" t="inlineStr"/>
    </row>
    <row r="84" ht="15" customHeight="1">
      <c r="A84" t="inlineStr">
        <is>
          <t>A 2555-2022</t>
        </is>
      </c>
      <c r="B84" t="inlineStr">
        <is>
          <t>avverkningsanmälan</t>
        </is>
      </c>
      <c r="C84" t="inlineStr">
        <is>
          <t>Föryngringsavverkning</t>
        </is>
      </c>
      <c r="D84" s="1" t="n">
        <v>44579</v>
      </c>
      <c r="E84" s="1" t="n">
        <v>46231</v>
      </c>
      <c r="F84" t="inlineStr">
        <is>
          <t>SKÅNE LÄN</t>
        </is>
      </c>
      <c r="G84" t="inlineStr">
        <is>
          <t>TOMELILLA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4651-2024</t>
        </is>
      </c>
      <c r="B85" t="inlineStr">
        <is>
          <t>avverkningsanmälan</t>
        </is>
      </c>
      <c r="C85" t="inlineStr">
        <is>
          <t>Föryngringsavverkning</t>
        </is>
      </c>
      <c r="D85" s="1" t="n">
        <v>45328</v>
      </c>
      <c r="E85" s="1" t="n">
        <v>46231</v>
      </c>
      <c r="F85" t="inlineStr">
        <is>
          <t>SKÅNE LÄN</t>
        </is>
      </c>
      <c r="G85" t="inlineStr">
        <is>
          <t>TOMELILLA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30040-2024</t>
        </is>
      </c>
      <c r="B86" t="inlineStr">
        <is>
          <t>avverkningsanmälan</t>
        </is>
      </c>
      <c r="C86" t="inlineStr">
        <is>
          <t>Avverkning för annat ändamål</t>
        </is>
      </c>
      <c r="D86" s="1" t="n">
        <v>45488</v>
      </c>
      <c r="E86" s="1" t="n">
        <v>46231</v>
      </c>
      <c r="F86" t="inlineStr">
        <is>
          <t>SKÅNE LÄN</t>
        </is>
      </c>
      <c r="G86" t="inlineStr">
        <is>
          <t>TOMELILLA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10908-2026</t>
        </is>
      </c>
      <c r="B87" t="inlineStr">
        <is>
          <t>avverkningsanmälan</t>
        </is>
      </c>
      <c r="C87" t="inlineStr">
        <is>
          <t>Föryngringsavverkning</t>
        </is>
      </c>
      <c r="D87" s="1" t="n">
        <v>46079</v>
      </c>
      <c r="E87" s="1" t="n">
        <v>46231</v>
      </c>
      <c r="F87" t="inlineStr">
        <is>
          <t>SKÅNE LÄN</t>
        </is>
      </c>
      <c r="G87" t="inlineStr">
        <is>
          <t>TOMELILLA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6357-2024</t>
        </is>
      </c>
      <c r="B88" t="inlineStr">
        <is>
          <t>avverkningsanmälan</t>
        </is>
      </c>
      <c r="C88" t="inlineStr">
        <is>
          <t>Föryngringsavverkning</t>
        </is>
      </c>
      <c r="D88" s="1" t="n">
        <v>45338</v>
      </c>
      <c r="E88" s="1" t="n">
        <v>46231</v>
      </c>
      <c r="F88" t="inlineStr">
        <is>
          <t>SKÅNE LÄN</t>
        </is>
      </c>
      <c r="G88" t="inlineStr">
        <is>
          <t>TOMELILLA</t>
        </is>
      </c>
      <c r="H88" t="inlineStr">
        <is>
          <t>Kyrkan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30673-2023</t>
        </is>
      </c>
      <c r="B89" t="inlineStr">
        <is>
          <t>avverkningsanmälan</t>
        </is>
      </c>
      <c r="C89" t="inlineStr">
        <is>
          <t>Föryngringsavverkning</t>
        </is>
      </c>
      <c r="D89" s="1" t="n">
        <v>45112</v>
      </c>
      <c r="E89" s="1" t="n">
        <v>46231</v>
      </c>
      <c r="F89" t="inlineStr">
        <is>
          <t>SKÅNE LÄN</t>
        </is>
      </c>
      <c r="G89" t="inlineStr">
        <is>
          <t>TOMELILLA</t>
        </is>
      </c>
      <c r="H89" t="inlineStr">
        <is>
          <t>Övriga Aktiebolag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31134-2026</t>
        </is>
      </c>
      <c r="B90" t="inlineStr">
        <is>
          <t>avverkningsanmälan</t>
        </is>
      </c>
      <c r="C90" t="inlineStr">
        <is>
          <t>Föryngringsavverkning</t>
        </is>
      </c>
      <c r="D90" s="1" t="n">
        <v>46216</v>
      </c>
      <c r="E90" s="1" t="n">
        <v>46231</v>
      </c>
      <c r="F90" t="inlineStr">
        <is>
          <t>SKÅNE LÄN</t>
        </is>
      </c>
      <c r="G90" t="inlineStr">
        <is>
          <t>TOMELILLA</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16611-2026</t>
        </is>
      </c>
      <c r="B91" t="inlineStr">
        <is>
          <t>avverkningsanmälan</t>
        </is>
      </c>
      <c r="C91" t="inlineStr">
        <is>
          <t>Föryngringsavverkning</t>
        </is>
      </c>
      <c r="D91" s="1" t="n">
        <v>46112</v>
      </c>
      <c r="E91" s="1" t="n">
        <v>46231</v>
      </c>
      <c r="F91" t="inlineStr">
        <is>
          <t>SKÅNE LÄN</t>
        </is>
      </c>
      <c r="G91" t="inlineStr">
        <is>
          <t>TOMELILLA</t>
        </is>
      </c>
      <c r="H91" t="inlineStr">
        <is>
          <t>Kommuner</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31993-2023</t>
        </is>
      </c>
      <c r="B92" t="inlineStr">
        <is>
          <t>avverkningsanmälan</t>
        </is>
      </c>
      <c r="C92" t="inlineStr">
        <is>
          <t>Föryngringsavverkning</t>
        </is>
      </c>
      <c r="D92" s="1" t="n">
        <v>45119</v>
      </c>
      <c r="E92" s="1" t="n">
        <v>46231</v>
      </c>
      <c r="F92" t="inlineStr">
        <is>
          <t>SKÅNE LÄN</t>
        </is>
      </c>
      <c r="G92" t="inlineStr">
        <is>
          <t>TOMELILLA</t>
        </is>
      </c>
      <c r="I92" t="n">
        <v>6.8</v>
      </c>
      <c r="J92" t="n">
        <v>0</v>
      </c>
      <c r="K92" t="n">
        <v>0</v>
      </c>
      <c r="L92" t="n">
        <v>0</v>
      </c>
      <c r="M92" t="n">
        <v>0</v>
      </c>
      <c r="N92" t="n">
        <v>0</v>
      </c>
      <c r="O92" t="n">
        <v>0</v>
      </c>
      <c r="P92" t="n">
        <v>0</v>
      </c>
      <c r="Q92" t="n">
        <v>0</v>
      </c>
      <c r="R92" t="n">
        <v>0</v>
      </c>
      <c r="S92" t="n">
        <v>0</v>
      </c>
      <c r="T92" t="n">
        <v>0</v>
      </c>
      <c r="U92" t="n">
        <v>0</v>
      </c>
      <c r="V92" s="2" t="inlineStr"/>
    </row>
    <row r="93" ht="15" customHeight="1">
      <c r="A93" t="inlineStr">
        <is>
          <t>A 11894-2024</t>
        </is>
      </c>
      <c r="B93" t="inlineStr">
        <is>
          <t>avverkningsanmälan</t>
        </is>
      </c>
      <c r="C93" t="inlineStr">
        <is>
          <t>Föryngringsavverkning</t>
        </is>
      </c>
      <c r="D93" s="1" t="n">
        <v>45376</v>
      </c>
      <c r="E93" s="1" t="n">
        <v>46231</v>
      </c>
      <c r="F93" t="inlineStr">
        <is>
          <t>SKÅNE LÄN</t>
        </is>
      </c>
      <c r="G93" t="inlineStr">
        <is>
          <t>TOMELILLA</t>
        </is>
      </c>
      <c r="H93" t="inlineStr">
        <is>
          <t>Övriga Aktiebolag</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16483-2024</t>
        </is>
      </c>
      <c r="B94" t="inlineStr">
        <is>
          <t>avverkningsanmälan</t>
        </is>
      </c>
      <c r="C94" t="inlineStr">
        <is>
          <t>Föryngringsavverkning</t>
        </is>
      </c>
      <c r="D94" s="1" t="n">
        <v>45408</v>
      </c>
      <c r="E94" s="1" t="n">
        <v>46231</v>
      </c>
      <c r="F94" t="inlineStr">
        <is>
          <t>SKÅNE LÄN</t>
        </is>
      </c>
      <c r="G94" t="inlineStr">
        <is>
          <t>TOMELILLA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24002-2026</t>
        </is>
      </c>
      <c r="B95" t="inlineStr">
        <is>
          <t>avverkningsanmälan</t>
        </is>
      </c>
      <c r="C95" t="inlineStr">
        <is>
          <t>Avverkning för annat ändamål</t>
        </is>
      </c>
      <c r="D95" s="1" t="n">
        <v>46167</v>
      </c>
      <c r="E95" s="1" t="n">
        <v>46231</v>
      </c>
      <c r="F95" t="inlineStr">
        <is>
          <t>SKÅNE LÄN</t>
        </is>
      </c>
      <c r="G95" t="inlineStr">
        <is>
          <t>TOMELILLA</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24987-2026</t>
        </is>
      </c>
      <c r="B96" t="inlineStr">
        <is>
          <t>avverkningsanmälan</t>
        </is>
      </c>
      <c r="C96" t="inlineStr">
        <is>
          <t>Föryngringsavverkning</t>
        </is>
      </c>
      <c r="D96" s="1" t="n">
        <v>46174</v>
      </c>
      <c r="E96" s="1" t="n">
        <v>46231</v>
      </c>
      <c r="F96" t="inlineStr">
        <is>
          <t>SKÅNE LÄN</t>
        </is>
      </c>
      <c r="G96" t="inlineStr">
        <is>
          <t>TOMELILLA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15296-2026</t>
        </is>
      </c>
      <c r="B97" t="inlineStr">
        <is>
          <t>avverkningsanmälan</t>
        </is>
      </c>
      <c r="C97" t="inlineStr">
        <is>
          <t>Föryngringsavverkning</t>
        </is>
      </c>
      <c r="D97" s="1" t="n">
        <v>46105</v>
      </c>
      <c r="E97" s="1" t="n">
        <v>46231</v>
      </c>
      <c r="F97" t="inlineStr">
        <is>
          <t>SKÅNE LÄN</t>
        </is>
      </c>
      <c r="G97" t="inlineStr">
        <is>
          <t>TOMELILLA</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38562-2023</t>
        </is>
      </c>
      <c r="B98" t="inlineStr">
        <is>
          <t>avverkningsanmälan</t>
        </is>
      </c>
      <c r="C98" t="inlineStr">
        <is>
          <t>Föryngringsavverkning</t>
        </is>
      </c>
      <c r="D98" s="1" t="n">
        <v>45162</v>
      </c>
      <c r="E98" s="1" t="n">
        <v>46231</v>
      </c>
      <c r="F98" t="inlineStr">
        <is>
          <t>SKÅNE LÄN</t>
        </is>
      </c>
      <c r="G98" t="inlineStr">
        <is>
          <t>TOMELILLA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51031-2023</t>
        </is>
      </c>
      <c r="B99" t="inlineStr">
        <is>
          <t>avverkningsanmälan</t>
        </is>
      </c>
      <c r="C99" t="inlineStr">
        <is>
          <t>Föryngringsavverkning</t>
        </is>
      </c>
      <c r="D99" s="1" t="n">
        <v>45211</v>
      </c>
      <c r="E99" s="1" t="n">
        <v>46231</v>
      </c>
      <c r="F99" t="inlineStr">
        <is>
          <t>SKÅNE LÄN</t>
        </is>
      </c>
      <c r="G99" t="inlineStr">
        <is>
          <t>TOMELILLA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23621-2026</t>
        </is>
      </c>
      <c r="B100" t="inlineStr">
        <is>
          <t>avverkningsanmälan</t>
        </is>
      </c>
      <c r="C100" t="inlineStr">
        <is>
          <t>Föryngringsavverkning</t>
        </is>
      </c>
      <c r="D100" s="1" t="n">
        <v>46162</v>
      </c>
      <c r="E100" s="1" t="n">
        <v>46231</v>
      </c>
      <c r="F100" t="inlineStr">
        <is>
          <t>SKÅNE LÄN</t>
        </is>
      </c>
      <c r="G100" t="inlineStr">
        <is>
          <t>TOMELILLA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25597-2026</t>
        </is>
      </c>
      <c r="B101" t="inlineStr">
        <is>
          <t>avverkningsanmälan</t>
        </is>
      </c>
      <c r="C101" t="inlineStr">
        <is>
          <t>Föryngringsavverkning</t>
        </is>
      </c>
      <c r="D101" s="1" t="n">
        <v>46177</v>
      </c>
      <c r="E101" s="1" t="n">
        <v>46231</v>
      </c>
      <c r="F101" t="inlineStr">
        <is>
          <t>SKÅNE LÄN</t>
        </is>
      </c>
      <c r="G101" t="inlineStr">
        <is>
          <t>TOMELILLA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25605-2026</t>
        </is>
      </c>
      <c r="B102" t="inlineStr">
        <is>
          <t>avverkningsanmälan</t>
        </is>
      </c>
      <c r="C102" t="inlineStr">
        <is>
          <t>Föryngringsavverkning</t>
        </is>
      </c>
      <c r="D102" s="1" t="n">
        <v>46177</v>
      </c>
      <c r="E102" s="1" t="n">
        <v>46231</v>
      </c>
      <c r="F102" t="inlineStr">
        <is>
          <t>SKÅNE LÄN</t>
        </is>
      </c>
      <c r="G102" t="inlineStr">
        <is>
          <t>TOMELILLA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59528-2022</t>
        </is>
      </c>
      <c r="B103" t="inlineStr">
        <is>
          <t>avverkningsanmälan</t>
        </is>
      </c>
      <c r="C103" t="inlineStr">
        <is>
          <t>Föryngringsavverkning</t>
        </is>
      </c>
      <c r="D103" s="1" t="n">
        <v>44907</v>
      </c>
      <c r="E103" s="1" t="n">
        <v>46231</v>
      </c>
      <c r="F103" t="inlineStr">
        <is>
          <t>SKÅNE LÄN</t>
        </is>
      </c>
      <c r="G103" t="inlineStr">
        <is>
          <t>TOMELILLA</t>
        </is>
      </c>
      <c r="H103" t="inlineStr">
        <is>
          <t>Övriga Aktiebolag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16027-2022</t>
        </is>
      </c>
      <c r="B104" t="inlineStr">
        <is>
          <t>avverkningsanmälan</t>
        </is>
      </c>
      <c r="C104" t="inlineStr">
        <is>
          <t>Föryngringsavverkning</t>
        </is>
      </c>
      <c r="D104" s="1" t="n">
        <v>44665</v>
      </c>
      <c r="E104" s="1" t="n">
        <v>46231</v>
      </c>
      <c r="F104" t="inlineStr">
        <is>
          <t>SKÅNE LÄN</t>
        </is>
      </c>
      <c r="G104" t="inlineStr">
        <is>
          <t>TOMELILLA</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49913-2025</t>
        </is>
      </c>
      <c r="B105" t="inlineStr">
        <is>
          <t>avverkningsanmälan</t>
        </is>
      </c>
      <c r="C105" t="inlineStr">
        <is>
          <t>Avverkning för annat ändamål</t>
        </is>
      </c>
      <c r="D105" s="1" t="n">
        <v>45940</v>
      </c>
      <c r="E105" s="1" t="n">
        <v>46231</v>
      </c>
      <c r="F105" t="inlineStr">
        <is>
          <t>SKÅNE LÄN</t>
        </is>
      </c>
      <c r="G105" t="inlineStr">
        <is>
          <t>TOMELILLA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6259-2024</t>
        </is>
      </c>
      <c r="B106" t="inlineStr">
        <is>
          <t>avverkningsanmälan</t>
        </is>
      </c>
      <c r="C106" t="inlineStr">
        <is>
          <t>Föryngringsavverkning</t>
        </is>
      </c>
      <c r="D106" s="1" t="n">
        <v>45337</v>
      </c>
      <c r="E106" s="1" t="n">
        <v>46231</v>
      </c>
      <c r="F106" t="inlineStr">
        <is>
          <t>SKÅNE LÄN</t>
        </is>
      </c>
      <c r="G106" t="inlineStr">
        <is>
          <t>TOMELILLA</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1199-2024</t>
        </is>
      </c>
      <c r="B107" t="inlineStr">
        <is>
          <t>avverkningsanmälan</t>
        </is>
      </c>
      <c r="C107" t="inlineStr">
        <is>
          <t>Föryngringsavverkning</t>
        </is>
      </c>
      <c r="D107" s="1" t="n">
        <v>45302</v>
      </c>
      <c r="E107" s="1" t="n">
        <v>46231</v>
      </c>
      <c r="F107" t="inlineStr">
        <is>
          <t>SKÅNE LÄN</t>
        </is>
      </c>
      <c r="G107" t="inlineStr">
        <is>
          <t>TOMELILLA</t>
        </is>
      </c>
      <c r="H107" t="inlineStr">
        <is>
          <t>Övriga Aktiebolag</t>
        </is>
      </c>
      <c r="I107" t="n">
        <v>16.1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26473-2024</t>
        </is>
      </c>
      <c r="B108" t="inlineStr">
        <is>
          <t>avverkningsanmälan</t>
        </is>
      </c>
      <c r="C108" t="inlineStr">
        <is>
          <t>Föryngringsavverkning</t>
        </is>
      </c>
      <c r="D108" s="1" t="n">
        <v>45469</v>
      </c>
      <c r="E108" s="1" t="n">
        <v>46231</v>
      </c>
      <c r="F108" t="inlineStr">
        <is>
          <t>SKÅNE LÄN</t>
        </is>
      </c>
      <c r="G108" t="inlineStr">
        <is>
          <t>TOMELILLA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17778-2024</t>
        </is>
      </c>
      <c r="B109" t="inlineStr">
        <is>
          <t>avverkningsanmälan</t>
        </is>
      </c>
      <c r="C109" t="inlineStr">
        <is>
          <t>Föryngringsavverkning</t>
        </is>
      </c>
      <c r="D109" s="1" t="n">
        <v>45418</v>
      </c>
      <c r="E109" s="1" t="n">
        <v>46231</v>
      </c>
      <c r="F109" t="inlineStr">
        <is>
          <t>SKÅNE LÄN</t>
        </is>
      </c>
      <c r="G109" t="inlineStr">
        <is>
          <t>TOMELILLA</t>
        </is>
      </c>
      <c r="H109" t="inlineStr">
        <is>
          <t>Övriga Aktiebolag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8190-2024</t>
        </is>
      </c>
      <c r="B110" t="inlineStr">
        <is>
          <t>avverkningsanmälan</t>
        </is>
      </c>
      <c r="C110" t="inlineStr">
        <is>
          <t>Föryngringsavverkning</t>
        </is>
      </c>
      <c r="D110" s="1" t="n">
        <v>45338</v>
      </c>
      <c r="E110" s="1" t="n">
        <v>46231</v>
      </c>
      <c r="F110" t="inlineStr">
        <is>
          <t>SKÅNE LÄN</t>
        </is>
      </c>
      <c r="G110" t="inlineStr">
        <is>
          <t>TOMELILLA</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8192-2024</t>
        </is>
      </c>
      <c r="B111" t="inlineStr">
        <is>
          <t>avverkningsanmälan</t>
        </is>
      </c>
      <c r="C111" t="inlineStr">
        <is>
          <t>Föryngringsavverkning</t>
        </is>
      </c>
      <c r="D111" s="1" t="n">
        <v>45338</v>
      </c>
      <c r="E111" s="1" t="n">
        <v>46231</v>
      </c>
      <c r="F111" t="inlineStr">
        <is>
          <t>SKÅNE LÄN</t>
        </is>
      </c>
      <c r="G111" t="inlineStr">
        <is>
          <t>TOMELILLA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17151-2024</t>
        </is>
      </c>
      <c r="B112" t="inlineStr">
        <is>
          <t>avverkningsanmälan</t>
        </is>
      </c>
      <c r="C112" t="inlineStr">
        <is>
          <t>Föryngringsavverkning</t>
        </is>
      </c>
      <c r="D112" s="1" t="n">
        <v>45412</v>
      </c>
      <c r="E112" s="1" t="n">
        <v>46231</v>
      </c>
      <c r="F112" t="inlineStr">
        <is>
          <t>SKÅNE LÄN</t>
        </is>
      </c>
      <c r="G112" t="inlineStr">
        <is>
          <t>TOMELILLA</t>
        </is>
      </c>
      <c r="H112" t="inlineStr">
        <is>
          <t>Övriga Aktiebolag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12181-2023</t>
        </is>
      </c>
      <c r="B113" t="inlineStr">
        <is>
          <t>avverkningsanmälan</t>
        </is>
      </c>
      <c r="C113" t="inlineStr">
        <is>
          <t>Föryngringsavverkning</t>
        </is>
      </c>
      <c r="D113" s="1" t="n">
        <v>44998</v>
      </c>
      <c r="E113" s="1" t="n">
        <v>46231</v>
      </c>
      <c r="F113" t="inlineStr">
        <is>
          <t>SKÅNE LÄN</t>
        </is>
      </c>
      <c r="G113" t="inlineStr">
        <is>
          <t>TOMELILLA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23310-2022</t>
        </is>
      </c>
      <c r="B114" t="inlineStr">
        <is>
          <t>avverkningsanmälan</t>
        </is>
      </c>
      <c r="C114" t="inlineStr">
        <is>
          <t>Föryngringsavverkning</t>
        </is>
      </c>
      <c r="D114" s="1" t="n">
        <v>44720</v>
      </c>
      <c r="E114" s="1" t="n">
        <v>46231</v>
      </c>
      <c r="F114" t="inlineStr">
        <is>
          <t>SKÅNE LÄN</t>
        </is>
      </c>
      <c r="G114" t="inlineStr">
        <is>
          <t>TOMELILLA</t>
        </is>
      </c>
      <c r="H114" t="inlineStr">
        <is>
          <t>Övriga Aktiebolag</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5027-2024</t>
        </is>
      </c>
      <c r="B115" t="inlineStr">
        <is>
          <t>avverkningsanmälan</t>
        </is>
      </c>
      <c r="C115" t="inlineStr">
        <is>
          <t>Föryngringsavverkning</t>
        </is>
      </c>
      <c r="D115" s="1" t="n">
        <v>45329</v>
      </c>
      <c r="E115" s="1" t="n">
        <v>46231</v>
      </c>
      <c r="F115" t="inlineStr">
        <is>
          <t>SKÅNE LÄN</t>
        </is>
      </c>
      <c r="G115" t="inlineStr">
        <is>
          <t>TOMELILLA</t>
        </is>
      </c>
      <c r="H115" t="inlineStr">
        <is>
          <t>Övriga Aktiebolag</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743-2024</t>
        </is>
      </c>
      <c r="B116" t="inlineStr">
        <is>
          <t>avverkningsanmälan</t>
        </is>
      </c>
      <c r="C116" t="inlineStr">
        <is>
          <t>Föryngringsavverkning</t>
        </is>
      </c>
      <c r="D116" s="1" t="n">
        <v>45300</v>
      </c>
      <c r="E116" s="1" t="n">
        <v>46231</v>
      </c>
      <c r="F116" t="inlineStr">
        <is>
          <t>SKÅNE LÄN</t>
        </is>
      </c>
      <c r="G116" t="inlineStr">
        <is>
          <t>TOMELILLA</t>
        </is>
      </c>
      <c r="H116" t="inlineStr">
        <is>
          <t>Övriga Aktiebolag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53977-2022</t>
        </is>
      </c>
      <c r="B117" t="inlineStr">
        <is>
          <t>avverkningsanmälan</t>
        </is>
      </c>
      <c r="C117" t="inlineStr">
        <is>
          <t>Föryngringsavverkning</t>
        </is>
      </c>
      <c r="D117" s="1" t="n">
        <v>44876</v>
      </c>
      <c r="E117" s="1" t="n">
        <v>46231</v>
      </c>
      <c r="F117" t="inlineStr">
        <is>
          <t>SKÅNE LÄN</t>
        </is>
      </c>
      <c r="G117" t="inlineStr">
        <is>
          <t>TOMELILLA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19500-2024</t>
        </is>
      </c>
      <c r="B118" t="inlineStr">
        <is>
          <t>avverkningsanmälan</t>
        </is>
      </c>
      <c r="C118" t="inlineStr">
        <is>
          <t>Föryngringsavverkning</t>
        </is>
      </c>
      <c r="D118" s="1" t="n">
        <v>45429</v>
      </c>
      <c r="E118" s="1" t="n">
        <v>46231</v>
      </c>
      <c r="F118" t="inlineStr">
        <is>
          <t>SKÅNE LÄN</t>
        </is>
      </c>
      <c r="G118" t="inlineStr">
        <is>
          <t>TOMELILLA</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4188-2024</t>
        </is>
      </c>
      <c r="B119" t="inlineStr">
        <is>
          <t>avverkningsanmälan</t>
        </is>
      </c>
      <c r="C119" t="inlineStr">
        <is>
          <t>Föryngringsavverkning</t>
        </is>
      </c>
      <c r="D119" s="1" t="n">
        <v>45324</v>
      </c>
      <c r="E119" s="1" t="n">
        <v>46231</v>
      </c>
      <c r="F119" t="inlineStr">
        <is>
          <t>SKÅNE LÄN</t>
        </is>
      </c>
      <c r="G119" t="inlineStr">
        <is>
          <t>TOMELILLA</t>
        </is>
      </c>
      <c r="H119" t="inlineStr">
        <is>
          <t>Övriga Aktiebolag</t>
        </is>
      </c>
      <c r="I119" t="n">
        <v>9.6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12663-2022</t>
        </is>
      </c>
      <c r="B120" t="inlineStr">
        <is>
          <t>avverkningsanmälan</t>
        </is>
      </c>
      <c r="C120" t="inlineStr">
        <is>
          <t>Föryngringsavverkning</t>
        </is>
      </c>
      <c r="D120" s="1" t="n">
        <v>44641</v>
      </c>
      <c r="E120" s="1" t="n">
        <v>46231</v>
      </c>
      <c r="F120" t="inlineStr">
        <is>
          <t>SKÅNE LÄN</t>
        </is>
      </c>
      <c r="G120" t="inlineStr">
        <is>
          <t>TOMELILLA</t>
        </is>
      </c>
      <c r="H120" t="inlineStr">
        <is>
          <t>Övriga Aktiebolag</t>
        </is>
      </c>
      <c r="I120" t="n">
        <v>12.4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36180-2024</t>
        </is>
      </c>
      <c r="B121" t="inlineStr">
        <is>
          <t>avverkningsanmälan</t>
        </is>
      </c>
      <c r="C121" t="inlineStr">
        <is>
          <t>Föryngringsavverkning</t>
        </is>
      </c>
      <c r="D121" s="1" t="n">
        <v>45534</v>
      </c>
      <c r="E121" s="1" t="n">
        <v>46231</v>
      </c>
      <c r="F121" t="inlineStr">
        <is>
          <t>SKÅNE LÄN</t>
        </is>
      </c>
      <c r="G121" t="inlineStr">
        <is>
          <t>TOMELILLA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12903-2024</t>
        </is>
      </c>
      <c r="B122" t="inlineStr">
        <is>
          <t>avverkningsanmälan</t>
        </is>
      </c>
      <c r="C122" t="inlineStr">
        <is>
          <t>Föryngringsavverkning</t>
        </is>
      </c>
      <c r="D122" s="1" t="n">
        <v>45385</v>
      </c>
      <c r="E122" s="1" t="n">
        <v>46231</v>
      </c>
      <c r="F122" t="inlineStr">
        <is>
          <t>SKÅNE LÄN</t>
        </is>
      </c>
      <c r="G122" t="inlineStr">
        <is>
          <t>TOMELILLA</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15075-2024</t>
        </is>
      </c>
      <c r="B123" t="inlineStr">
        <is>
          <t>avverkningsanmälan</t>
        </is>
      </c>
      <c r="C123" t="inlineStr">
        <is>
          <t>Avverkning för annat ändamål</t>
        </is>
      </c>
      <c r="D123" s="1" t="n">
        <v>45399</v>
      </c>
      <c r="E123" s="1" t="n">
        <v>46231</v>
      </c>
      <c r="F123" t="inlineStr">
        <is>
          <t>SKÅNE LÄN</t>
        </is>
      </c>
      <c r="G123" t="inlineStr">
        <is>
          <t>TOMELILLA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11887-2024</t>
        </is>
      </c>
      <c r="B124" t="inlineStr">
        <is>
          <t>avverkningsanmälan</t>
        </is>
      </c>
      <c r="C124" t="inlineStr">
        <is>
          <t>Föryngringsavverkning</t>
        </is>
      </c>
      <c r="D124" s="1" t="n">
        <v>45376</v>
      </c>
      <c r="E124" s="1" t="n">
        <v>46231</v>
      </c>
      <c r="F124" t="inlineStr">
        <is>
          <t>SKÅNE LÄN</t>
        </is>
      </c>
      <c r="G124" t="inlineStr">
        <is>
          <t>TOMELILLA</t>
        </is>
      </c>
      <c r="H124" t="inlineStr">
        <is>
          <t>Övriga Aktiebolag</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5565-2024</t>
        </is>
      </c>
      <c r="B125" t="inlineStr">
        <is>
          <t>avverkningsanmälan</t>
        </is>
      </c>
      <c r="C125" t="inlineStr">
        <is>
          <t>Föryngringsavverkning</t>
        </is>
      </c>
      <c r="D125" s="1" t="n">
        <v>45334</v>
      </c>
      <c r="E125" s="1" t="n">
        <v>46231</v>
      </c>
      <c r="F125" t="inlineStr">
        <is>
          <t>SKÅNE LÄN</t>
        </is>
      </c>
      <c r="G125" t="inlineStr">
        <is>
          <t>TOMELILLA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46231</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35715-2024</t>
        </is>
      </c>
      <c r="B127" t="inlineStr">
        <is>
          <t>avverkningsanmälan</t>
        </is>
      </c>
      <c r="C127" t="inlineStr">
        <is>
          <t>Föryngringsavverkning</t>
        </is>
      </c>
      <c r="D127" s="1" t="n">
        <v>45532</v>
      </c>
      <c r="E127" s="1" t="n">
        <v>46231</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11806-2025</t>
        </is>
      </c>
      <c r="B128" t="inlineStr">
        <is>
          <t>avverkningsanmälan</t>
        </is>
      </c>
      <c r="C128" t="inlineStr">
        <is>
          <t>Föryngringsavverkning</t>
        </is>
      </c>
      <c r="D128" s="1" t="n">
        <v>45727</v>
      </c>
      <c r="E128" s="1" t="n">
        <v>46231</v>
      </c>
      <c r="F128" t="inlineStr">
        <is>
          <t>SKÅNE LÄN</t>
        </is>
      </c>
      <c r="G128" t="inlineStr">
        <is>
          <t>TOMELILLA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11810-2025</t>
        </is>
      </c>
      <c r="B129" t="inlineStr">
        <is>
          <t>avverkningsanmälan</t>
        </is>
      </c>
      <c r="C129" t="inlineStr">
        <is>
          <t>Föryngringsavverkning</t>
        </is>
      </c>
      <c r="D129" s="1" t="n">
        <v>45727</v>
      </c>
      <c r="E129" s="1" t="n">
        <v>46231</v>
      </c>
      <c r="F129" t="inlineStr">
        <is>
          <t>SKÅNE LÄN</t>
        </is>
      </c>
      <c r="G129" t="inlineStr">
        <is>
          <t>TOMELILLA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23185-2025</t>
        </is>
      </c>
      <c r="B130" t="inlineStr">
        <is>
          <t>avverkningsanmälan</t>
        </is>
      </c>
      <c r="C130" t="inlineStr">
        <is>
          <t>Avverkning för att bevara och utveckla /försöksver</t>
        </is>
      </c>
      <c r="D130" s="1" t="n">
        <v>45791</v>
      </c>
      <c r="E130" s="1" t="n">
        <v>46231</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17760-2025</t>
        </is>
      </c>
      <c r="B131" t="inlineStr">
        <is>
          <t>avverkningsanmälan</t>
        </is>
      </c>
      <c r="C131" t="inlineStr">
        <is>
          <t>Föryngringsavverkning</t>
        </is>
      </c>
      <c r="D131" s="1" t="n">
        <v>45758</v>
      </c>
      <c r="E131" s="1" t="n">
        <v>46231</v>
      </c>
      <c r="F131" t="inlineStr">
        <is>
          <t>SKÅNE LÄN</t>
        </is>
      </c>
      <c r="G131" t="inlineStr">
        <is>
          <t>TOMELILLA</t>
        </is>
      </c>
      <c r="I131" t="n">
        <v>3.7</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46231</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2026-07-28T01:49:05Z</dcterms:created>
  <dcterms:modified xmlns:dcterms="http://purl.org/dc/terms/" xmlns:xsi="http://www.w3.org/2001/XMLSchema-instance" xsi:type="dcterms:W3CDTF">2026-07-28T01:49:05Z</dcterms:modified>
</cp:coreProperties>
</file>