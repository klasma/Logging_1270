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46326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46326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46326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46326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46326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46326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46326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46326</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46326</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46326</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46326</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26958-2025</t>
        </is>
      </c>
      <c r="B13" t="inlineStr">
        <is>
          <t>avverkningsanmälan</t>
        </is>
      </c>
      <c r="C13" t="inlineStr">
        <is>
          <t>Föryngringsavverkning</t>
        </is>
      </c>
      <c r="D13" s="1" t="n">
        <v>45811</v>
      </c>
      <c r="E13" s="1" t="n">
        <v>46326</v>
      </c>
      <c r="F13" t="inlineStr">
        <is>
          <t>SKÅNE LÄN</t>
        </is>
      </c>
      <c r="G13" t="inlineStr">
        <is>
          <t>TOMELILLA</t>
        </is>
      </c>
      <c r="I13" t="n">
        <v>2.9</v>
      </c>
      <c r="J13" t="n">
        <v>0</v>
      </c>
      <c r="K13" t="n">
        <v>1</v>
      </c>
      <c r="L13" t="n">
        <v>0</v>
      </c>
      <c r="M13" t="n">
        <v>0</v>
      </c>
      <c r="N13" t="n">
        <v>0</v>
      </c>
      <c r="O13" t="n">
        <v>0</v>
      </c>
      <c r="P13" t="n">
        <v>0</v>
      </c>
      <c r="Q13" t="n">
        <v>0</v>
      </c>
      <c r="R13" t="n">
        <v>0</v>
      </c>
      <c r="S13" t="n">
        <v>1</v>
      </c>
      <c r="T13" t="n">
        <v>1</v>
      </c>
      <c r="U13" t="n">
        <v>0</v>
      </c>
      <c r="V13" s="2" t="inlineStr">
        <is>
          <t>Murgröna</t>
        </is>
      </c>
      <c r="W13">
        <f>HYPERLINK("https://klasma.github.io/Logging_1270/artfynd/A 26958-2025 artfynd.xlsx", "A 26958-2025")</f>
        <v/>
      </c>
      <c r="X13">
        <f>HYPERLINK("https://klasma.github.io/Logging_1270/kartor/A 26958-2025 karta.png", "A 26958-2025")</f>
        <v/>
      </c>
      <c r="Y13">
        <f>HYPERLINK("https://klasma.github.io/Logging_1270/kartor_geotiff/A 26958-2025 georefererad karta.tif", "A 26958-2025")</f>
        <v/>
      </c>
      <c r="AA13">
        <f>HYPERLINK("https://klasma.github.io/Logging_1270/klagomål/A 26958-2025 FSC-klagomål.docx", "A 26958-2025")</f>
        <v/>
      </c>
      <c r="AB13">
        <f>HYPERLINK("https://klasma.github.io/Logging_1270/klagomålsmail/A 26958-2025 FSC-klagomål mail.docx", "A 26958-2025")</f>
        <v/>
      </c>
      <c r="AC13">
        <f>HYPERLINK("https://klasma.github.io/Logging_1270/tillsyn/A 26958-2025 tillsynsbegäran.docx", "A 26958-2025")</f>
        <v/>
      </c>
      <c r="AD13">
        <f>HYPERLINK("https://klasma.github.io/Logging_1270/tillsynsmail/A 26958-2025 tillsynsbegäran mail.docx", "A 26958-2025")</f>
        <v/>
      </c>
    </row>
    <row r="14" ht="15" customHeight="1">
      <c r="A14" t="inlineStr">
        <is>
          <t>A 49813-2025</t>
        </is>
      </c>
      <c r="B14" t="inlineStr">
        <is>
          <t>avverkningsanmälan</t>
        </is>
      </c>
      <c r="C14" t="inlineStr">
        <is>
          <t>Föryngringsavverkning</t>
        </is>
      </c>
      <c r="D14" s="1" t="n">
        <v>45940</v>
      </c>
      <c r="E14" s="1" t="n">
        <v>46326</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46326</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2193-2022</t>
        </is>
      </c>
      <c r="B16" t="inlineStr">
        <is>
          <t>avverkningsanmälan</t>
        </is>
      </c>
      <c r="C16" t="inlineStr">
        <is>
          <t>Föryngringsavverkning</t>
        </is>
      </c>
      <c r="D16" s="1" t="n">
        <v>44578</v>
      </c>
      <c r="E16" s="1" t="n">
        <v>46326</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6262-2024</t>
        </is>
      </c>
      <c r="B17" t="inlineStr">
        <is>
          <t>avverkningsanmälan</t>
        </is>
      </c>
      <c r="C17" t="inlineStr">
        <is>
          <t>Föryngringsavverkning</t>
        </is>
      </c>
      <c r="D17" s="1" t="n">
        <v>45337</v>
      </c>
      <c r="E17" s="1" t="n">
        <v>46326</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60820-2023</t>
        </is>
      </c>
      <c r="B18" t="inlineStr">
        <is>
          <t>avverkningsanmälan</t>
        </is>
      </c>
      <c r="C18" t="inlineStr">
        <is>
          <t>Föryngringsavverkning</t>
        </is>
      </c>
      <c r="D18" s="1" t="n">
        <v>45260</v>
      </c>
      <c r="E18" s="1" t="n">
        <v>46326</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46326</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46326</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42387-2022</t>
        </is>
      </c>
      <c r="B21" t="inlineStr">
        <is>
          <t>avverkningsanmälan</t>
        </is>
      </c>
      <c r="C21" t="inlineStr">
        <is>
          <t>Föryngringsavverkning</t>
        </is>
      </c>
      <c r="D21" s="1" t="n">
        <v>44830</v>
      </c>
      <c r="E21" s="1" t="n">
        <v>46326</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20397-2026</t>
        </is>
      </c>
      <c r="B22" t="inlineStr">
        <is>
          <t>avverkningsanmälan</t>
        </is>
      </c>
      <c r="C22" t="inlineStr">
        <is>
          <t>Föryngringsavverkning</t>
        </is>
      </c>
      <c r="D22" s="1" t="n">
        <v>46139</v>
      </c>
      <c r="E22" s="1" t="n">
        <v>46326</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46326</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17907-2024</t>
        </is>
      </c>
      <c r="B24" t="inlineStr">
        <is>
          <t>avverkningsanmälan</t>
        </is>
      </c>
      <c r="C24" t="inlineStr">
        <is>
          <t>Föryngringsavverkning</t>
        </is>
      </c>
      <c r="D24" s="1" t="n">
        <v>45419</v>
      </c>
      <c r="E24" s="1" t="n">
        <v>46326</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26823-2026</t>
        </is>
      </c>
      <c r="B25" t="inlineStr">
        <is>
          <t>avverkningsanmälan</t>
        </is>
      </c>
      <c r="C25" t="inlineStr">
        <is>
          <t>Föryngringsavverkning</t>
        </is>
      </c>
      <c r="D25" s="1" t="n">
        <v>46183</v>
      </c>
      <c r="E25" s="1" t="n">
        <v>46326</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6261-2024</t>
        </is>
      </c>
      <c r="B26" t="inlineStr">
        <is>
          <t>avverkningsanmälan</t>
        </is>
      </c>
      <c r="C26" t="inlineStr">
        <is>
          <t>Föryngringsavverkning</t>
        </is>
      </c>
      <c r="D26" s="1" t="n">
        <v>45337</v>
      </c>
      <c r="E26" s="1" t="n">
        <v>46326</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S 2622-2026</t>
        </is>
      </c>
      <c r="B27" t="inlineStr">
        <is>
          <t>samrådsanmälan</t>
        </is>
      </c>
      <c r="C27" t="inlineStr">
        <is>
          <t>Annan skogsbruksåtgärd</t>
        </is>
      </c>
      <c r="D27" s="1" t="n">
        <v>46302</v>
      </c>
      <c r="E27" s="1" t="n">
        <v>46326</v>
      </c>
      <c r="F27" t="inlineStr">
        <is>
          <t>SKÅNE LÄN</t>
        </is>
      </c>
      <c r="G27" t="inlineStr">
        <is>
          <t>TOMELILLA</t>
        </is>
      </c>
      <c r="I27" t="n">
        <v>15</v>
      </c>
      <c r="J27" t="n">
        <v>1</v>
      </c>
      <c r="K27" t="n">
        <v>0</v>
      </c>
      <c r="L27" t="n">
        <v>0</v>
      </c>
      <c r="M27" t="n">
        <v>1</v>
      </c>
      <c r="N27" t="n">
        <v>0</v>
      </c>
      <c r="O27" t="n">
        <v>0</v>
      </c>
      <c r="P27" t="n">
        <v>0</v>
      </c>
      <c r="Q27" t="n">
        <v>1</v>
      </c>
      <c r="R27" t="n">
        <v>1</v>
      </c>
      <c r="S27" t="n">
        <v>1</v>
      </c>
      <c r="T27" t="n">
        <v>1</v>
      </c>
      <c r="U27" t="n">
        <v>0</v>
      </c>
      <c r="V27" s="2" t="inlineStr">
        <is>
          <t>Hedblomster</t>
        </is>
      </c>
      <c r="W27">
        <f>HYPERLINK("https://klasma.github.io/Logging_1270/artfynd/S 2622-2026 artfynd.xlsx", "S 2622-2026")</f>
        <v/>
      </c>
      <c r="X27">
        <f>HYPERLINK("https://klasma.github.io/Logging_1270/kartor/S 2622-2026 karta.png", "S 2622-2026")</f>
        <v/>
      </c>
      <c r="Y27">
        <f>HYPERLINK("https://klasma.github.io/Logging_1270/kartor_geotiff/S 2622-2026 georefererad karta.tif", "S 2622-2026")</f>
        <v/>
      </c>
      <c r="AA27">
        <f>HYPERLINK("https://klasma.github.io/Logging_1270/klagomål/S 2622-2026 FSC-klagomål.docx", "S 2622-2026")</f>
        <v/>
      </c>
      <c r="AB27">
        <f>HYPERLINK("https://klasma.github.io/Logging_1270/klagomålsmail/S 2622-2026 FSC-klagomål mail.docx", "S 2622-2026")</f>
        <v/>
      </c>
      <c r="AC27">
        <f>HYPERLINK("https://klasma.github.io/Logging_1270/tillsyn/S 2622-2026 tillsynsbegäran.docx", "S 2622-2026")</f>
        <v/>
      </c>
      <c r="AD27">
        <f>HYPERLINK("https://klasma.github.io/Logging_1270/tillsynsmail/S 2622-2026 tillsynsbegäran mail.docx", "S 2622-2026")</f>
        <v/>
      </c>
    </row>
    <row r="28" ht="15" customHeight="1">
      <c r="A28" t="inlineStr">
        <is>
          <t>A 18158-2022</t>
        </is>
      </c>
      <c r="B28" t="inlineStr">
        <is>
          <t>avverkningsanmälan</t>
        </is>
      </c>
      <c r="C28" t="inlineStr">
        <is>
          <t>Föryngringsavverkning</t>
        </is>
      </c>
      <c r="D28" s="1" t="n">
        <v>44684</v>
      </c>
      <c r="E28" s="1" t="n">
        <v>46326</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46326</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46326</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46326</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46326</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46326</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36180-2024</t>
        </is>
      </c>
      <c r="B34" t="inlineStr">
        <is>
          <t>avverkningsanmälan</t>
        </is>
      </c>
      <c r="C34" t="inlineStr">
        <is>
          <t>Föryngringsavverkning</t>
        </is>
      </c>
      <c r="D34" s="1" t="n">
        <v>45534</v>
      </c>
      <c r="E34" s="1" t="n">
        <v>46326</v>
      </c>
      <c r="F34" t="inlineStr">
        <is>
          <t>SKÅNE LÄN</t>
        </is>
      </c>
      <c r="G34" t="inlineStr">
        <is>
          <t>TOMELILLA</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2548-2024</t>
        </is>
      </c>
      <c r="B35" t="inlineStr">
        <is>
          <t>avverkningsanmälan</t>
        </is>
      </c>
      <c r="C35" t="inlineStr">
        <is>
          <t>Föryngringsavverkning</t>
        </is>
      </c>
      <c r="D35" s="1" t="n">
        <v>45313</v>
      </c>
      <c r="E35" s="1" t="n">
        <v>46326</v>
      </c>
      <c r="F35" t="inlineStr">
        <is>
          <t>SKÅNE LÄN</t>
        </is>
      </c>
      <c r="G35" t="inlineStr">
        <is>
          <t>TOMELILLA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46326</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46326</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11887-2024</t>
        </is>
      </c>
      <c r="B38" t="inlineStr">
        <is>
          <t>avverkningsanmälan</t>
        </is>
      </c>
      <c r="C38" t="inlineStr">
        <is>
          <t>Föryngringsavverkning</t>
        </is>
      </c>
      <c r="D38" s="1" t="n">
        <v>45376</v>
      </c>
      <c r="E38" s="1" t="n">
        <v>46326</v>
      </c>
      <c r="F38" t="inlineStr">
        <is>
          <t>SKÅNE LÄN</t>
        </is>
      </c>
      <c r="G38" t="inlineStr">
        <is>
          <t>TOMELILLA</t>
        </is>
      </c>
      <c r="H38" t="inlineStr">
        <is>
          <t>Övriga Aktiebolag</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10272-2023</t>
        </is>
      </c>
      <c r="B39" t="inlineStr">
        <is>
          <t>avverkningsanmälan</t>
        </is>
      </c>
      <c r="C39" t="inlineStr">
        <is>
          <t>Föryngringsavverkning</t>
        </is>
      </c>
      <c r="D39" s="1" t="n">
        <v>44986</v>
      </c>
      <c r="E39" s="1" t="n">
        <v>46326</v>
      </c>
      <c r="F39" t="inlineStr">
        <is>
          <t>SKÅNE LÄN</t>
        </is>
      </c>
      <c r="G39" t="inlineStr">
        <is>
          <t>TOMELILLA</t>
        </is>
      </c>
      <c r="H39" t="inlineStr">
        <is>
          <t>Övriga Aktiebolag</t>
        </is>
      </c>
      <c r="I39" t="n">
        <v>7.7</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46326</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46326</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46326</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46326</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8190-2024</t>
        </is>
      </c>
      <c r="B44" t="inlineStr">
        <is>
          <t>avverkningsanmälan</t>
        </is>
      </c>
      <c r="C44" t="inlineStr">
        <is>
          <t>Föryngringsavverkning</t>
        </is>
      </c>
      <c r="D44" s="1" t="n">
        <v>45338</v>
      </c>
      <c r="E44" s="1" t="n">
        <v>46326</v>
      </c>
      <c r="F44" t="inlineStr">
        <is>
          <t>SKÅNE LÄN</t>
        </is>
      </c>
      <c r="G44" t="inlineStr">
        <is>
          <t>TOMELILLA</t>
        </is>
      </c>
      <c r="H44" t="inlineStr">
        <is>
          <t>Kyrkan</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8192-2024</t>
        </is>
      </c>
      <c r="B45" t="inlineStr">
        <is>
          <t>avverkningsanmälan</t>
        </is>
      </c>
      <c r="C45" t="inlineStr">
        <is>
          <t>Föryngringsavverkning</t>
        </is>
      </c>
      <c r="D45" s="1" t="n">
        <v>45338</v>
      </c>
      <c r="E45" s="1" t="n">
        <v>46326</v>
      </c>
      <c r="F45" t="inlineStr">
        <is>
          <t>SKÅNE LÄN</t>
        </is>
      </c>
      <c r="G45" t="inlineStr">
        <is>
          <t>TOMELILLA</t>
        </is>
      </c>
      <c r="H45" t="inlineStr">
        <is>
          <t>Kyrkan</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47231-2023</t>
        </is>
      </c>
      <c r="B46" t="inlineStr">
        <is>
          <t>avverkningsanmälan</t>
        </is>
      </c>
      <c r="C46" t="inlineStr">
        <is>
          <t>Föryngringsavverkning</t>
        </is>
      </c>
      <c r="D46" s="1" t="n">
        <v>45202</v>
      </c>
      <c r="E46" s="1" t="n">
        <v>46326</v>
      </c>
      <c r="F46" t="inlineStr">
        <is>
          <t>SKÅNE LÄN</t>
        </is>
      </c>
      <c r="G46" t="inlineStr">
        <is>
          <t>TOMELILLA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11811-2025</t>
        </is>
      </c>
      <c r="B47" t="inlineStr">
        <is>
          <t>avverkningsanmälan</t>
        </is>
      </c>
      <c r="C47" t="inlineStr">
        <is>
          <t>Föryngringsavverkning</t>
        </is>
      </c>
      <c r="D47" s="1" t="n">
        <v>45727</v>
      </c>
      <c r="E47" s="1" t="n">
        <v>46326</v>
      </c>
      <c r="F47" t="inlineStr">
        <is>
          <t>SKÅNE LÄN</t>
        </is>
      </c>
      <c r="G47" t="inlineStr">
        <is>
          <t>TOMELILLA</t>
        </is>
      </c>
      <c r="I47" t="n">
        <v>9.699999999999999</v>
      </c>
      <c r="J47" t="n">
        <v>0</v>
      </c>
      <c r="K47" t="n">
        <v>0</v>
      </c>
      <c r="L47" t="n">
        <v>0</v>
      </c>
      <c r="M47" t="n">
        <v>0</v>
      </c>
      <c r="N47" t="n">
        <v>0</v>
      </c>
      <c r="O47" t="n">
        <v>0</v>
      </c>
      <c r="P47" t="n">
        <v>0</v>
      </c>
      <c r="Q47" t="n">
        <v>0</v>
      </c>
      <c r="R47" t="n">
        <v>0</v>
      </c>
      <c r="S47" t="n">
        <v>0</v>
      </c>
      <c r="T47" t="n">
        <v>0</v>
      </c>
      <c r="U47" t="n">
        <v>0</v>
      </c>
      <c r="V47" s="2" t="inlineStr"/>
    </row>
    <row r="48" ht="15" customHeight="1">
      <c r="A48" t="inlineStr">
        <is>
          <t>A 28966-2022</t>
        </is>
      </c>
      <c r="B48" t="inlineStr">
        <is>
          <t>avverkningsanmälan</t>
        </is>
      </c>
      <c r="C48" t="inlineStr">
        <is>
          <t>Avverkning för annat ändamål</t>
        </is>
      </c>
      <c r="D48" s="1" t="n">
        <v>44749</v>
      </c>
      <c r="E48" s="1" t="n">
        <v>46326</v>
      </c>
      <c r="F48" t="inlineStr">
        <is>
          <t>SKÅNE LÄN</t>
        </is>
      </c>
      <c r="G48" t="inlineStr">
        <is>
          <t>TOMELILLA</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578-2024</t>
        </is>
      </c>
      <c r="B49" t="inlineStr">
        <is>
          <t>avverkningsanmälan</t>
        </is>
      </c>
      <c r="C49" t="inlineStr">
        <is>
          <t>Föryngringsavverkning</t>
        </is>
      </c>
      <c r="D49" s="1" t="n">
        <v>45299</v>
      </c>
      <c r="E49" s="1" t="n">
        <v>46326</v>
      </c>
      <c r="F49" t="inlineStr">
        <is>
          <t>SKÅNE LÄN</t>
        </is>
      </c>
      <c r="G49" t="inlineStr">
        <is>
          <t>TOMELILLA</t>
        </is>
      </c>
      <c r="H49" t="inlineStr">
        <is>
          <t>Övriga Aktiebolag</t>
        </is>
      </c>
      <c r="I49" t="n">
        <v>67.40000000000001</v>
      </c>
      <c r="J49" t="n">
        <v>0</v>
      </c>
      <c r="K49" t="n">
        <v>0</v>
      </c>
      <c r="L49" t="n">
        <v>0</v>
      </c>
      <c r="M49" t="n">
        <v>0</v>
      </c>
      <c r="N49" t="n">
        <v>0</v>
      </c>
      <c r="O49" t="n">
        <v>0</v>
      </c>
      <c r="P49" t="n">
        <v>0</v>
      </c>
      <c r="Q49" t="n">
        <v>0</v>
      </c>
      <c r="R49" t="n">
        <v>0</v>
      </c>
      <c r="S49" t="n">
        <v>0</v>
      </c>
      <c r="T49" t="n">
        <v>0</v>
      </c>
      <c r="U49" t="n">
        <v>0</v>
      </c>
      <c r="V49" s="2" t="inlineStr"/>
    </row>
    <row r="50" ht="15" customHeight="1">
      <c r="A50" t="inlineStr">
        <is>
          <t>A 6357-2024</t>
        </is>
      </c>
      <c r="B50" t="inlineStr">
        <is>
          <t>avverkningsanmälan</t>
        </is>
      </c>
      <c r="C50" t="inlineStr">
        <is>
          <t>Föryngringsavverkning</t>
        </is>
      </c>
      <c r="D50" s="1" t="n">
        <v>45338</v>
      </c>
      <c r="E50" s="1" t="n">
        <v>46326</v>
      </c>
      <c r="F50" t="inlineStr">
        <is>
          <t>SKÅNE LÄN</t>
        </is>
      </c>
      <c r="G50" t="inlineStr">
        <is>
          <t>TOMELILLA</t>
        </is>
      </c>
      <c r="H50" t="inlineStr">
        <is>
          <t>Kyrkan</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15158-2025</t>
        </is>
      </c>
      <c r="B51" t="inlineStr">
        <is>
          <t>avverkningsanmälan</t>
        </is>
      </c>
      <c r="C51" t="inlineStr">
        <is>
          <t>Föryngringsavverkning</t>
        </is>
      </c>
      <c r="D51" s="1" t="n">
        <v>45744</v>
      </c>
      <c r="E51" s="1" t="n">
        <v>46326</v>
      </c>
      <c r="F51" t="inlineStr">
        <is>
          <t>SKÅNE LÄN</t>
        </is>
      </c>
      <c r="G51" t="inlineStr">
        <is>
          <t>TOMELILLA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23813-2024</t>
        </is>
      </c>
      <c r="B52" t="inlineStr">
        <is>
          <t>avverkningsanmälan</t>
        </is>
      </c>
      <c r="C52" t="inlineStr">
        <is>
          <t>Föryngringsavverkning</t>
        </is>
      </c>
      <c r="D52" s="1" t="n">
        <v>45455</v>
      </c>
      <c r="E52" s="1" t="n">
        <v>46326</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19454-2024</t>
        </is>
      </c>
      <c r="B53" t="inlineStr">
        <is>
          <t>avverkningsanmälan</t>
        </is>
      </c>
      <c r="C53" t="inlineStr">
        <is>
          <t>Föryngringsavverkning</t>
        </is>
      </c>
      <c r="D53" s="1" t="n">
        <v>45429</v>
      </c>
      <c r="E53" s="1" t="n">
        <v>46326</v>
      </c>
      <c r="F53" t="inlineStr">
        <is>
          <t>SKÅNE LÄN</t>
        </is>
      </c>
      <c r="G53" t="inlineStr">
        <is>
          <t>TOMELILLA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59528-2022</t>
        </is>
      </c>
      <c r="B54" t="inlineStr">
        <is>
          <t>avverkningsanmälan</t>
        </is>
      </c>
      <c r="C54" t="inlineStr">
        <is>
          <t>Föryngringsavverkning</t>
        </is>
      </c>
      <c r="D54" s="1" t="n">
        <v>44907</v>
      </c>
      <c r="E54" s="1" t="n">
        <v>46326</v>
      </c>
      <c r="F54" t="inlineStr">
        <is>
          <t>SKÅNE LÄN</t>
        </is>
      </c>
      <c r="G54" t="inlineStr">
        <is>
          <t>TOMELILLA</t>
        </is>
      </c>
      <c r="H54" t="inlineStr">
        <is>
          <t>Övriga Aktiebolag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30673-2023</t>
        </is>
      </c>
      <c r="B55" t="inlineStr">
        <is>
          <t>avverkningsanmälan</t>
        </is>
      </c>
      <c r="C55" t="inlineStr">
        <is>
          <t>Föryngringsavverkning</t>
        </is>
      </c>
      <c r="D55" s="1" t="n">
        <v>45112</v>
      </c>
      <c r="E55" s="1" t="n">
        <v>46326</v>
      </c>
      <c r="F55" t="inlineStr">
        <is>
          <t>SKÅNE LÄN</t>
        </is>
      </c>
      <c r="G55" t="inlineStr">
        <is>
          <t>TOMELILLA</t>
        </is>
      </c>
      <c r="H55" t="inlineStr">
        <is>
          <t>Övriga Aktiebolag</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35792-2025</t>
        </is>
      </c>
      <c r="B56" t="inlineStr">
        <is>
          <t>avverkningsanmälan</t>
        </is>
      </c>
      <c r="C56" t="inlineStr">
        <is>
          <t>Föryngringsavverkning</t>
        </is>
      </c>
      <c r="D56" s="1" t="n">
        <v>45861</v>
      </c>
      <c r="E56" s="1" t="n">
        <v>46326</v>
      </c>
      <c r="F56" t="inlineStr">
        <is>
          <t>SKÅNE LÄN</t>
        </is>
      </c>
      <c r="G56" t="inlineStr">
        <is>
          <t>TOMELILLA</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35971-2025</t>
        </is>
      </c>
      <c r="B57" t="inlineStr">
        <is>
          <t>avverkningsanmälan</t>
        </is>
      </c>
      <c r="C57" t="inlineStr">
        <is>
          <t>Föryngringsavverkning</t>
        </is>
      </c>
      <c r="D57" s="1" t="n">
        <v>45863</v>
      </c>
      <c r="E57" s="1" t="n">
        <v>46326</v>
      </c>
      <c r="F57" t="inlineStr">
        <is>
          <t>SKÅNE LÄN</t>
        </is>
      </c>
      <c r="G57" t="inlineStr">
        <is>
          <t>TOMELILLA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49815-2025</t>
        </is>
      </c>
      <c r="B58" t="inlineStr">
        <is>
          <t>avverkningsanmälan</t>
        </is>
      </c>
      <c r="C58" t="inlineStr">
        <is>
          <t>Föryngringsavverkning</t>
        </is>
      </c>
      <c r="D58" s="1" t="n">
        <v>45940</v>
      </c>
      <c r="E58" s="1" t="n">
        <v>46326</v>
      </c>
      <c r="F58" t="inlineStr">
        <is>
          <t>SKÅNE LÄN</t>
        </is>
      </c>
      <c r="G58" t="inlineStr">
        <is>
          <t>TOMELILLA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46326</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1199-2024</t>
        </is>
      </c>
      <c r="B60" t="inlineStr">
        <is>
          <t>avverkningsanmälan</t>
        </is>
      </c>
      <c r="C60" t="inlineStr">
        <is>
          <t>Föryngringsavverkning</t>
        </is>
      </c>
      <c r="D60" s="1" t="n">
        <v>45302</v>
      </c>
      <c r="E60" s="1" t="n">
        <v>46326</v>
      </c>
      <c r="F60" t="inlineStr">
        <is>
          <t>SKÅNE LÄN</t>
        </is>
      </c>
      <c r="G60" t="inlineStr">
        <is>
          <t>TOMELILLA</t>
        </is>
      </c>
      <c r="H60" t="inlineStr">
        <is>
          <t>Övriga Aktiebolag</t>
        </is>
      </c>
      <c r="I60" t="n">
        <v>16.1</v>
      </c>
      <c r="J60" t="n">
        <v>0</v>
      </c>
      <c r="K60" t="n">
        <v>0</v>
      </c>
      <c r="L60" t="n">
        <v>0</v>
      </c>
      <c r="M60" t="n">
        <v>0</v>
      </c>
      <c r="N60" t="n">
        <v>0</v>
      </c>
      <c r="O60" t="n">
        <v>0</v>
      </c>
      <c r="P60" t="n">
        <v>0</v>
      </c>
      <c r="Q60" t="n">
        <v>0</v>
      </c>
      <c r="R60" t="n">
        <v>0</v>
      </c>
      <c r="S60" t="n">
        <v>0</v>
      </c>
      <c r="T60" t="n">
        <v>0</v>
      </c>
      <c r="U60" t="n">
        <v>0</v>
      </c>
      <c r="V60" s="2" t="inlineStr"/>
    </row>
    <row r="61" ht="15" customHeight="1">
      <c r="A61" t="inlineStr">
        <is>
          <t>A 4969-2026</t>
        </is>
      </c>
      <c r="B61" t="inlineStr">
        <is>
          <t>avverkningsanmälan</t>
        </is>
      </c>
      <c r="C61" t="inlineStr">
        <is>
          <t>Föryngringsavverkning</t>
        </is>
      </c>
      <c r="D61" s="1" t="n">
        <v>46049</v>
      </c>
      <c r="E61" s="1" t="n">
        <v>46326</v>
      </c>
      <c r="F61" t="inlineStr">
        <is>
          <t>SKÅNE LÄN</t>
        </is>
      </c>
      <c r="G61" t="inlineStr">
        <is>
          <t>TOMELILLA</t>
        </is>
      </c>
      <c r="H61" t="inlineStr">
        <is>
          <t>Övriga Aktiebolag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46326</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4018-2024</t>
        </is>
      </c>
      <c r="B63" t="inlineStr">
        <is>
          <t>avverkningsanmälan</t>
        </is>
      </c>
      <c r="C63" t="inlineStr">
        <is>
          <t>Föryngringsavverkning</t>
        </is>
      </c>
      <c r="D63" s="1" t="n">
        <v>45323</v>
      </c>
      <c r="E63" s="1" t="n">
        <v>46326</v>
      </c>
      <c r="F63" t="inlineStr">
        <is>
          <t>SKÅNE LÄN</t>
        </is>
      </c>
      <c r="G63" t="inlineStr">
        <is>
          <t>TOMELILLA</t>
        </is>
      </c>
      <c r="H63" t="inlineStr">
        <is>
          <t>Övriga Aktiebolag</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6259-2024</t>
        </is>
      </c>
      <c r="B64" t="inlineStr">
        <is>
          <t>avverkningsanmälan</t>
        </is>
      </c>
      <c r="C64" t="inlineStr">
        <is>
          <t>Föryngringsavverkning</t>
        </is>
      </c>
      <c r="D64" s="1" t="n">
        <v>45337</v>
      </c>
      <c r="E64" s="1" t="n">
        <v>46326</v>
      </c>
      <c r="F64" t="inlineStr">
        <is>
          <t>SKÅNE LÄN</t>
        </is>
      </c>
      <c r="G64" t="inlineStr">
        <is>
          <t>TOMELILLA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46326</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42794-2024</t>
        </is>
      </c>
      <c r="B66" t="inlineStr">
        <is>
          <t>avverkningsanmälan</t>
        </is>
      </c>
      <c r="C66" t="inlineStr">
        <is>
          <t>Föryngringsavverkning</t>
        </is>
      </c>
      <c r="D66" s="1" t="n">
        <v>45566</v>
      </c>
      <c r="E66" s="1" t="n">
        <v>46326</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4188-2024</t>
        </is>
      </c>
      <c r="B67" t="inlineStr">
        <is>
          <t>avverkningsanmälan</t>
        </is>
      </c>
      <c r="C67" t="inlineStr">
        <is>
          <t>Föryngringsavverkning</t>
        </is>
      </c>
      <c r="D67" s="1" t="n">
        <v>45324</v>
      </c>
      <c r="E67" s="1" t="n">
        <v>46326</v>
      </c>
      <c r="F67" t="inlineStr">
        <is>
          <t>SKÅNE LÄN</t>
        </is>
      </c>
      <c r="G67" t="inlineStr">
        <is>
          <t>TOMELILLA</t>
        </is>
      </c>
      <c r="H67" t="inlineStr">
        <is>
          <t>Övriga Aktiebolag</t>
        </is>
      </c>
      <c r="I67" t="n">
        <v>9.6</v>
      </c>
      <c r="J67" t="n">
        <v>0</v>
      </c>
      <c r="K67" t="n">
        <v>0</v>
      </c>
      <c r="L67" t="n">
        <v>0</v>
      </c>
      <c r="M67" t="n">
        <v>0</v>
      </c>
      <c r="N67" t="n">
        <v>0</v>
      </c>
      <c r="O67" t="n">
        <v>0</v>
      </c>
      <c r="P67" t="n">
        <v>0</v>
      </c>
      <c r="Q67" t="n">
        <v>0</v>
      </c>
      <c r="R67" t="n">
        <v>0</v>
      </c>
      <c r="S67" t="n">
        <v>0</v>
      </c>
      <c r="T67" t="n">
        <v>0</v>
      </c>
      <c r="U67" t="n">
        <v>0</v>
      </c>
      <c r="V67" s="2" t="inlineStr"/>
    </row>
    <row r="68" ht="15" customHeight="1">
      <c r="A68" t="inlineStr">
        <is>
          <t>A 2190-2022</t>
        </is>
      </c>
      <c r="B68" t="inlineStr">
        <is>
          <t>avverkningsanmälan</t>
        </is>
      </c>
      <c r="C68" t="inlineStr">
        <is>
          <t>Föryngringsavverkning</t>
        </is>
      </c>
      <c r="D68" s="1" t="n">
        <v>44578</v>
      </c>
      <c r="E68" s="1" t="n">
        <v>46326</v>
      </c>
      <c r="F68" t="inlineStr">
        <is>
          <t>SKÅNE LÄN</t>
        </is>
      </c>
      <c r="G68" t="inlineStr">
        <is>
          <t>TOMELILLA</t>
        </is>
      </c>
      <c r="H68" t="inlineStr">
        <is>
          <t>Sveaskog</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53977-2022</t>
        </is>
      </c>
      <c r="B69" t="inlineStr">
        <is>
          <t>avverkningsanmälan</t>
        </is>
      </c>
      <c r="C69" t="inlineStr">
        <is>
          <t>Föryngringsavverkning</t>
        </is>
      </c>
      <c r="D69" s="1" t="n">
        <v>44876</v>
      </c>
      <c r="E69" s="1" t="n">
        <v>46326</v>
      </c>
      <c r="F69" t="inlineStr">
        <is>
          <t>SKÅNE LÄN</t>
        </is>
      </c>
      <c r="G69" t="inlineStr">
        <is>
          <t>TOMELILLA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12903-2024</t>
        </is>
      </c>
      <c r="B70" t="inlineStr">
        <is>
          <t>avverkningsanmälan</t>
        </is>
      </c>
      <c r="C70" t="inlineStr">
        <is>
          <t>Föryngringsavverkning</t>
        </is>
      </c>
      <c r="D70" s="1" t="n">
        <v>45385</v>
      </c>
      <c r="E70" s="1" t="n">
        <v>46326</v>
      </c>
      <c r="F70" t="inlineStr">
        <is>
          <t>SKÅNE LÄN</t>
        </is>
      </c>
      <c r="G70" t="inlineStr">
        <is>
          <t>TOMELILLA</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49913-2025</t>
        </is>
      </c>
      <c r="B71" t="inlineStr">
        <is>
          <t>avverkningsanmälan</t>
        </is>
      </c>
      <c r="C71" t="inlineStr">
        <is>
          <t>Avverkning för annat ändamål</t>
        </is>
      </c>
      <c r="D71" s="1" t="n">
        <v>45940</v>
      </c>
      <c r="E71" s="1" t="n">
        <v>46326</v>
      </c>
      <c r="F71" t="inlineStr">
        <is>
          <t>SKÅNE LÄN</t>
        </is>
      </c>
      <c r="G71" t="inlineStr">
        <is>
          <t>TOMELILLA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17151-2024</t>
        </is>
      </c>
      <c r="B72" t="inlineStr">
        <is>
          <t>avverkningsanmälan</t>
        </is>
      </c>
      <c r="C72" t="inlineStr">
        <is>
          <t>Föryngringsavverkning</t>
        </is>
      </c>
      <c r="D72" s="1" t="n">
        <v>45412</v>
      </c>
      <c r="E72" s="1" t="n">
        <v>46326</v>
      </c>
      <c r="F72" t="inlineStr">
        <is>
          <t>SKÅNE LÄN</t>
        </is>
      </c>
      <c r="G72" t="inlineStr">
        <is>
          <t>TOMELILLA</t>
        </is>
      </c>
      <c r="H72" t="inlineStr">
        <is>
          <t>Övriga Aktiebolag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61970-2025</t>
        </is>
      </c>
      <c r="B73" t="inlineStr">
        <is>
          <t>avverkningsanmälan</t>
        </is>
      </c>
      <c r="C73" t="inlineStr">
        <is>
          <t>Avverkning för annat ändamål</t>
        </is>
      </c>
      <c r="D73" s="1" t="n">
        <v>46003</v>
      </c>
      <c r="E73" s="1" t="n">
        <v>46326</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46326</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16483-2024</t>
        </is>
      </c>
      <c r="B75" t="inlineStr">
        <is>
          <t>avverkningsanmälan</t>
        </is>
      </c>
      <c r="C75" t="inlineStr">
        <is>
          <t>Föryngringsavverkning</t>
        </is>
      </c>
      <c r="D75" s="1" t="n">
        <v>45408</v>
      </c>
      <c r="E75" s="1" t="n">
        <v>46326</v>
      </c>
      <c r="F75" t="inlineStr">
        <is>
          <t>SKÅNE LÄN</t>
        </is>
      </c>
      <c r="G75" t="inlineStr">
        <is>
          <t>TOMELILLA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12663-2022</t>
        </is>
      </c>
      <c r="B76" t="inlineStr">
        <is>
          <t>avverkningsanmälan</t>
        </is>
      </c>
      <c r="C76" t="inlineStr">
        <is>
          <t>Föryngringsavverkning</t>
        </is>
      </c>
      <c r="D76" s="1" t="n">
        <v>44641</v>
      </c>
      <c r="E76" s="1" t="n">
        <v>46326</v>
      </c>
      <c r="F76" t="inlineStr">
        <is>
          <t>SKÅNE LÄN</t>
        </is>
      </c>
      <c r="G76" t="inlineStr">
        <is>
          <t>TOMELILLA</t>
        </is>
      </c>
      <c r="H76" t="inlineStr">
        <is>
          <t>Övriga Aktiebolag</t>
        </is>
      </c>
      <c r="I76" t="n">
        <v>12.4</v>
      </c>
      <c r="J76" t="n">
        <v>0</v>
      </c>
      <c r="K76" t="n">
        <v>0</v>
      </c>
      <c r="L76" t="n">
        <v>0</v>
      </c>
      <c r="M76" t="n">
        <v>0</v>
      </c>
      <c r="N76" t="n">
        <v>0</v>
      </c>
      <c r="O76" t="n">
        <v>0</v>
      </c>
      <c r="P76" t="n">
        <v>0</v>
      </c>
      <c r="Q76" t="n">
        <v>0</v>
      </c>
      <c r="R76" t="n">
        <v>0</v>
      </c>
      <c r="S76" t="n">
        <v>0</v>
      </c>
      <c r="T76" t="n">
        <v>0</v>
      </c>
      <c r="U76" t="n">
        <v>0</v>
      </c>
      <c r="V76" s="2" t="inlineStr"/>
    </row>
    <row r="77" ht="15" customHeight="1">
      <c r="A77" t="inlineStr">
        <is>
          <t>A 6124-2026</t>
        </is>
      </c>
      <c r="B77" t="inlineStr">
        <is>
          <t>avverkningsanmälan</t>
        </is>
      </c>
      <c r="C77" t="inlineStr">
        <is>
          <t>Föryngringsavverkning</t>
        </is>
      </c>
      <c r="D77" s="1" t="n">
        <v>46053</v>
      </c>
      <c r="E77" s="1" t="n">
        <v>46326</v>
      </c>
      <c r="F77" t="inlineStr">
        <is>
          <t>SKÅNE LÄN</t>
        </is>
      </c>
      <c r="G77" t="inlineStr">
        <is>
          <t>TOMELILLA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30806-2023</t>
        </is>
      </c>
      <c r="B78" t="inlineStr">
        <is>
          <t>avverkningsanmälan</t>
        </is>
      </c>
      <c r="C78" t="inlineStr">
        <is>
          <t>Föryngringsavverkning</t>
        </is>
      </c>
      <c r="D78" s="1" t="n">
        <v>45112</v>
      </c>
      <c r="E78" s="1" t="n">
        <v>46326</v>
      </c>
      <c r="F78" t="inlineStr">
        <is>
          <t>SKÅNE LÄN</t>
        </is>
      </c>
      <c r="G78" t="inlineStr">
        <is>
          <t>TOMELILLA</t>
        </is>
      </c>
      <c r="H78" t="inlineStr">
        <is>
          <t>Övriga Aktiebolag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16621-2026</t>
        </is>
      </c>
      <c r="B79" t="inlineStr">
        <is>
          <t>avverkningsanmälan</t>
        </is>
      </c>
      <c r="C79" t="inlineStr">
        <is>
          <t>Föryngringsavverkning</t>
        </is>
      </c>
      <c r="D79" s="1" t="n">
        <v>46112</v>
      </c>
      <c r="E79" s="1" t="n">
        <v>46326</v>
      </c>
      <c r="F79" t="inlineStr">
        <is>
          <t>SKÅNE LÄN</t>
        </is>
      </c>
      <c r="G79" t="inlineStr">
        <is>
          <t>TOMELILLA</t>
        </is>
      </c>
      <c r="H79" t="inlineStr">
        <is>
          <t>Kommuner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17316-2024</t>
        </is>
      </c>
      <c r="B80" t="inlineStr">
        <is>
          <t>avverkningsanmälan</t>
        </is>
      </c>
      <c r="C80" t="inlineStr">
        <is>
          <t>Föryngringsavverkning</t>
        </is>
      </c>
      <c r="D80" s="1" t="n">
        <v>45414</v>
      </c>
      <c r="E80" s="1" t="n">
        <v>46326</v>
      </c>
      <c r="F80" t="inlineStr">
        <is>
          <t>SKÅNE LÄN</t>
        </is>
      </c>
      <c r="G80" t="inlineStr">
        <is>
          <t>TOMELILLA</t>
        </is>
      </c>
      <c r="H80" t="inlineStr">
        <is>
          <t>Övriga Aktiebolag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46326</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61841-2025</t>
        </is>
      </c>
      <c r="B82" t="inlineStr">
        <is>
          <t>avverkningsanmälan</t>
        </is>
      </c>
      <c r="C82" t="inlineStr">
        <is>
          <t>Föryngringsavverkning</t>
        </is>
      </c>
      <c r="D82" s="1" t="n">
        <v>46003</v>
      </c>
      <c r="E82" s="1" t="n">
        <v>46326</v>
      </c>
      <c r="F82" t="inlineStr">
        <is>
          <t>SKÅNE LÄN</t>
        </is>
      </c>
      <c r="G82" t="inlineStr">
        <is>
          <t>TOMELILLA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16568-2024</t>
        </is>
      </c>
      <c r="B83" t="inlineStr">
        <is>
          <t>avverkningsanmälan</t>
        </is>
      </c>
      <c r="C83" t="inlineStr">
        <is>
          <t>Föryngringsavverkning</t>
        </is>
      </c>
      <c r="D83" s="1" t="n">
        <v>45408</v>
      </c>
      <c r="E83" s="1" t="n">
        <v>46326</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4677-2023</t>
        </is>
      </c>
      <c r="B84" t="inlineStr">
        <is>
          <t>avverkningsanmälan</t>
        </is>
      </c>
      <c r="C84" t="inlineStr">
        <is>
          <t>Föryngringsavverkning</t>
        </is>
      </c>
      <c r="D84" s="1" t="n">
        <v>44952</v>
      </c>
      <c r="E84" s="1" t="n">
        <v>46326</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46326</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11802-2024</t>
        </is>
      </c>
      <c r="B86" t="inlineStr">
        <is>
          <t>avverkningsanmälan</t>
        </is>
      </c>
      <c r="C86" t="inlineStr">
        <is>
          <t>Föryngringsavverkning</t>
        </is>
      </c>
      <c r="D86" s="1" t="n">
        <v>45375</v>
      </c>
      <c r="E86" s="1" t="n">
        <v>46326</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11894-2024</t>
        </is>
      </c>
      <c r="B87" t="inlineStr">
        <is>
          <t>avverkningsanmälan</t>
        </is>
      </c>
      <c r="C87" t="inlineStr">
        <is>
          <t>Föryngringsavverkning</t>
        </is>
      </c>
      <c r="D87" s="1" t="n">
        <v>45376</v>
      </c>
      <c r="E87" s="1" t="n">
        <v>46326</v>
      </c>
      <c r="F87" t="inlineStr">
        <is>
          <t>SKÅNE LÄN</t>
        </is>
      </c>
      <c r="G87" t="inlineStr">
        <is>
          <t>TOMELILLA</t>
        </is>
      </c>
      <c r="H87" t="inlineStr">
        <is>
          <t>Övriga Aktiebolag</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24248-2024</t>
        </is>
      </c>
      <c r="B88" t="inlineStr">
        <is>
          <t>avverkningsanmälan</t>
        </is>
      </c>
      <c r="C88" t="inlineStr">
        <is>
          <t>Föryngringsavverkning</t>
        </is>
      </c>
      <c r="D88" s="1" t="n">
        <v>45457</v>
      </c>
      <c r="E88" s="1" t="n">
        <v>46326</v>
      </c>
      <c r="F88" t="inlineStr">
        <is>
          <t>SKÅNE LÄN</t>
        </is>
      </c>
      <c r="G88" t="inlineStr">
        <is>
          <t>TOMELILLA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6852-2026</t>
        </is>
      </c>
      <c r="B89" t="inlineStr">
        <is>
          <t>avverkningsanmälan</t>
        </is>
      </c>
      <c r="C89" t="inlineStr">
        <is>
          <t>Föryngringsavverkning</t>
        </is>
      </c>
      <c r="D89" s="1" t="n">
        <v>46057</v>
      </c>
      <c r="E89" s="1" t="n">
        <v>46326</v>
      </c>
      <c r="F89" t="inlineStr">
        <is>
          <t>SKÅNE LÄN</t>
        </is>
      </c>
      <c r="G89" t="inlineStr">
        <is>
          <t>TOMELILLA</t>
        </is>
      </c>
      <c r="H89" t="inlineStr">
        <is>
          <t>Övriga Aktiebolag</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5027-2024</t>
        </is>
      </c>
      <c r="B90" t="inlineStr">
        <is>
          <t>avverkningsanmälan</t>
        </is>
      </c>
      <c r="C90" t="inlineStr">
        <is>
          <t>Föryngringsavverkning</t>
        </is>
      </c>
      <c r="D90" s="1" t="n">
        <v>45329</v>
      </c>
      <c r="E90" s="1" t="n">
        <v>46326</v>
      </c>
      <c r="F90" t="inlineStr">
        <is>
          <t>SKÅNE LÄN</t>
        </is>
      </c>
      <c r="G90" t="inlineStr">
        <is>
          <t>TOMELILLA</t>
        </is>
      </c>
      <c r="H90" t="inlineStr">
        <is>
          <t>Övriga Aktiebolag</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21291-2026</t>
        </is>
      </c>
      <c r="B91" t="inlineStr">
        <is>
          <t>avverkningsanmälan</t>
        </is>
      </c>
      <c r="C91" t="inlineStr">
        <is>
          <t>Föryngringsavverkning</t>
        </is>
      </c>
      <c r="D91" s="1" t="n">
        <v>46147</v>
      </c>
      <c r="E91" s="1" t="n">
        <v>46326</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21293-2026</t>
        </is>
      </c>
      <c r="B92" t="inlineStr">
        <is>
          <t>avverkningsanmälan</t>
        </is>
      </c>
      <c r="C92" t="inlineStr">
        <is>
          <t>Föryngringsavverkning</t>
        </is>
      </c>
      <c r="D92" s="1" t="n">
        <v>46147</v>
      </c>
      <c r="E92" s="1" t="n">
        <v>46326</v>
      </c>
      <c r="F92" t="inlineStr">
        <is>
          <t>SKÅNE LÄN</t>
        </is>
      </c>
      <c r="G92" t="inlineStr">
        <is>
          <t>TOMELILLA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12181-2023</t>
        </is>
      </c>
      <c r="B93" t="inlineStr">
        <is>
          <t>avverkningsanmälan</t>
        </is>
      </c>
      <c r="C93" t="inlineStr">
        <is>
          <t>Föryngringsavverkning</t>
        </is>
      </c>
      <c r="D93" s="1" t="n">
        <v>44998</v>
      </c>
      <c r="E93" s="1" t="n">
        <v>46326</v>
      </c>
      <c r="F93" t="inlineStr">
        <is>
          <t>SKÅNE LÄN</t>
        </is>
      </c>
      <c r="G93" t="inlineStr">
        <is>
          <t>TOMELILLA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38562-2023</t>
        </is>
      </c>
      <c r="B94" t="inlineStr">
        <is>
          <t>avverkningsanmälan</t>
        </is>
      </c>
      <c r="C94" t="inlineStr">
        <is>
          <t>Föryngringsavverkning</t>
        </is>
      </c>
      <c r="D94" s="1" t="n">
        <v>45162</v>
      </c>
      <c r="E94" s="1" t="n">
        <v>46326</v>
      </c>
      <c r="F94" t="inlineStr">
        <is>
          <t>SKÅNE LÄN</t>
        </is>
      </c>
      <c r="G94" t="inlineStr">
        <is>
          <t>TOMELILLA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17778-2024</t>
        </is>
      </c>
      <c r="B95" t="inlineStr">
        <is>
          <t>avverkningsanmälan</t>
        </is>
      </c>
      <c r="C95" t="inlineStr">
        <is>
          <t>Föryngringsavverkning</t>
        </is>
      </c>
      <c r="D95" s="1" t="n">
        <v>45418</v>
      </c>
      <c r="E95" s="1" t="n">
        <v>46326</v>
      </c>
      <c r="F95" t="inlineStr">
        <is>
          <t>SKÅNE LÄN</t>
        </is>
      </c>
      <c r="G95" t="inlineStr">
        <is>
          <t>TOMELILLA</t>
        </is>
      </c>
      <c r="H95" t="inlineStr">
        <is>
          <t>Övriga Aktiebolag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15288-2026</t>
        </is>
      </c>
      <c r="B96" t="inlineStr">
        <is>
          <t>avverkningsanmälan</t>
        </is>
      </c>
      <c r="C96" t="inlineStr">
        <is>
          <t>Föryngringsavverkning</t>
        </is>
      </c>
      <c r="D96" s="1" t="n">
        <v>46105</v>
      </c>
      <c r="E96" s="1" t="n">
        <v>46326</v>
      </c>
      <c r="F96" t="inlineStr">
        <is>
          <t>SKÅNE LÄN</t>
        </is>
      </c>
      <c r="G96" t="inlineStr">
        <is>
          <t>TOMELILLA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44675-2024</t>
        </is>
      </c>
      <c r="B97" t="inlineStr">
        <is>
          <t>avverkningsanmälan</t>
        </is>
      </c>
      <c r="C97" t="inlineStr">
        <is>
          <t>Avverkning för att bevara och utveckla /försöksver</t>
        </is>
      </c>
      <c r="D97" s="1" t="n">
        <v>45574</v>
      </c>
      <c r="E97" s="1" t="n">
        <v>46326</v>
      </c>
      <c r="F97" t="inlineStr">
        <is>
          <t>SKÅNE LÄN</t>
        </is>
      </c>
      <c r="G97" t="inlineStr">
        <is>
          <t>TOMELILLA</t>
        </is>
      </c>
      <c r="H97" t="inlineStr">
        <is>
          <t>Sveaskog</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39796-2025</t>
        </is>
      </c>
      <c r="B98" t="inlineStr">
        <is>
          <t>avverkningsanmälan</t>
        </is>
      </c>
      <c r="C98" t="inlineStr">
        <is>
          <t>Föryngringsavverkning</t>
        </is>
      </c>
      <c r="D98" s="1" t="n">
        <v>45891</v>
      </c>
      <c r="E98" s="1" t="n">
        <v>46326</v>
      </c>
      <c r="F98" t="inlineStr">
        <is>
          <t>SKÅNE LÄN</t>
        </is>
      </c>
      <c r="G98" t="inlineStr">
        <is>
          <t>TOMELILLA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26473-2024</t>
        </is>
      </c>
      <c r="B99" t="inlineStr">
        <is>
          <t>avverkningsanmälan</t>
        </is>
      </c>
      <c r="C99" t="inlineStr">
        <is>
          <t>Föryngringsavverkning</t>
        </is>
      </c>
      <c r="D99" s="1" t="n">
        <v>45469</v>
      </c>
      <c r="E99" s="1" t="n">
        <v>46326</v>
      </c>
      <c r="F99" t="inlineStr">
        <is>
          <t>SKÅNE LÄN</t>
        </is>
      </c>
      <c r="G99" t="inlineStr">
        <is>
          <t>TOMELILLA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51031-2023</t>
        </is>
      </c>
      <c r="B100" t="inlineStr">
        <is>
          <t>avverkningsanmälan</t>
        </is>
      </c>
      <c r="C100" t="inlineStr">
        <is>
          <t>Föryngringsavverkning</t>
        </is>
      </c>
      <c r="D100" s="1" t="n">
        <v>45211</v>
      </c>
      <c r="E100" s="1" t="n">
        <v>46326</v>
      </c>
      <c r="F100" t="inlineStr">
        <is>
          <t>SKÅNE LÄN</t>
        </is>
      </c>
      <c r="G100" t="inlineStr">
        <is>
          <t>TOMELILLA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7745-2025</t>
        </is>
      </c>
      <c r="B101" t="inlineStr">
        <is>
          <t>avverkningsanmälan</t>
        </is>
      </c>
      <c r="C101" t="inlineStr">
        <is>
          <t>Avverkning för annat ändamål</t>
        </is>
      </c>
      <c r="D101" s="1" t="n">
        <v>45706</v>
      </c>
      <c r="E101" s="1" t="n">
        <v>46326</v>
      </c>
      <c r="F101" t="inlineStr">
        <is>
          <t>SKÅNE LÄN</t>
        </is>
      </c>
      <c r="G101" t="inlineStr">
        <is>
          <t>TOMELILLA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16611-2026</t>
        </is>
      </c>
      <c r="B102" t="inlineStr">
        <is>
          <t>avverkningsanmälan</t>
        </is>
      </c>
      <c r="C102" t="inlineStr">
        <is>
          <t>Föryngringsavverkning</t>
        </is>
      </c>
      <c r="D102" s="1" t="n">
        <v>46112</v>
      </c>
      <c r="E102" s="1" t="n">
        <v>46326</v>
      </c>
      <c r="F102" t="inlineStr">
        <is>
          <t>SKÅNE LÄN</t>
        </is>
      </c>
      <c r="G102" t="inlineStr">
        <is>
          <t>TOMELILLA</t>
        </is>
      </c>
      <c r="H102" t="inlineStr">
        <is>
          <t>Kommuner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24002-2026</t>
        </is>
      </c>
      <c r="B103" t="inlineStr">
        <is>
          <t>avverkningsanmälan</t>
        </is>
      </c>
      <c r="C103" t="inlineStr">
        <is>
          <t>Avverkning för annat ändamål</t>
        </is>
      </c>
      <c r="D103" s="1" t="n">
        <v>46167</v>
      </c>
      <c r="E103" s="1" t="n">
        <v>46326</v>
      </c>
      <c r="F103" t="inlineStr">
        <is>
          <t>SKÅNE LÄN</t>
        </is>
      </c>
      <c r="G103" t="inlineStr">
        <is>
          <t>TOMELILLA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5565-2024</t>
        </is>
      </c>
      <c r="B104" t="inlineStr">
        <is>
          <t>avverkningsanmälan</t>
        </is>
      </c>
      <c r="C104" t="inlineStr">
        <is>
          <t>Föryngringsavverkning</t>
        </is>
      </c>
      <c r="D104" s="1" t="n">
        <v>45334</v>
      </c>
      <c r="E104" s="1" t="n">
        <v>46326</v>
      </c>
      <c r="F104" t="inlineStr">
        <is>
          <t>SKÅNE LÄN</t>
        </is>
      </c>
      <c r="G104" t="inlineStr">
        <is>
          <t>TOMELILLA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46326</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23310-2022</t>
        </is>
      </c>
      <c r="B106" t="inlineStr">
        <is>
          <t>avverkningsanmälan</t>
        </is>
      </c>
      <c r="C106" t="inlineStr">
        <is>
          <t>Föryngringsavverkning</t>
        </is>
      </c>
      <c r="D106" s="1" t="n">
        <v>44720</v>
      </c>
      <c r="E106" s="1" t="n">
        <v>46326</v>
      </c>
      <c r="F106" t="inlineStr">
        <is>
          <t>SKÅNE LÄN</t>
        </is>
      </c>
      <c r="G106" t="inlineStr">
        <is>
          <t>TOMELILLA</t>
        </is>
      </c>
      <c r="H106" t="inlineStr">
        <is>
          <t>Övriga Aktiebolag</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7955-2024</t>
        </is>
      </c>
      <c r="B107" t="inlineStr">
        <is>
          <t>avverkningsanmälan</t>
        </is>
      </c>
      <c r="C107" t="inlineStr">
        <is>
          <t>Föryngringsavverkning</t>
        </is>
      </c>
      <c r="D107" s="1" t="n">
        <v>45350</v>
      </c>
      <c r="E107" s="1" t="n">
        <v>46326</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55676-2022</t>
        </is>
      </c>
      <c r="B108" t="inlineStr">
        <is>
          <t>avverkningsanmälan</t>
        </is>
      </c>
      <c r="C108" t="inlineStr">
        <is>
          <t>Föryngringsavverkning</t>
        </is>
      </c>
      <c r="D108" s="1" t="n">
        <v>44888</v>
      </c>
      <c r="E108" s="1" t="n">
        <v>46326</v>
      </c>
      <c r="F108" t="inlineStr">
        <is>
          <t>SKÅNE LÄN</t>
        </is>
      </c>
      <c r="G108" t="inlineStr">
        <is>
          <t>TOMELILLA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23621-2026</t>
        </is>
      </c>
      <c r="B109" t="inlineStr">
        <is>
          <t>avverkningsanmälan</t>
        </is>
      </c>
      <c r="C109" t="inlineStr">
        <is>
          <t>Föryngringsavverkning</t>
        </is>
      </c>
      <c r="D109" s="1" t="n">
        <v>46162</v>
      </c>
      <c r="E109" s="1" t="n">
        <v>46326</v>
      </c>
      <c r="F109" t="inlineStr">
        <is>
          <t>SKÅNE LÄN</t>
        </is>
      </c>
      <c r="G109" t="inlineStr">
        <is>
          <t>TOMELILLA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46326</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16027-2022</t>
        </is>
      </c>
      <c r="B111" t="inlineStr">
        <is>
          <t>avverkningsanmälan</t>
        </is>
      </c>
      <c r="C111" t="inlineStr">
        <is>
          <t>Föryngringsavverkning</t>
        </is>
      </c>
      <c r="D111" s="1" t="n">
        <v>44665</v>
      </c>
      <c r="E111" s="1" t="n">
        <v>46326</v>
      </c>
      <c r="F111" t="inlineStr">
        <is>
          <t>SKÅNE LÄN</t>
        </is>
      </c>
      <c r="G111" t="inlineStr">
        <is>
          <t>TOMELILLA</t>
        </is>
      </c>
      <c r="H111" t="inlineStr">
        <is>
          <t>Övriga Aktiebolag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46326</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31134-2026</t>
        </is>
      </c>
      <c r="B113" t="inlineStr">
        <is>
          <t>avverkningsanmälan</t>
        </is>
      </c>
      <c r="C113" t="inlineStr">
        <is>
          <t>Föryngringsavverkning</t>
        </is>
      </c>
      <c r="D113" s="1" t="n">
        <v>46216</v>
      </c>
      <c r="E113" s="1" t="n">
        <v>46326</v>
      </c>
      <c r="F113" t="inlineStr">
        <is>
          <t>SKÅNE LÄN</t>
        </is>
      </c>
      <c r="G113" t="inlineStr">
        <is>
          <t>TOMELILLA</t>
        </is>
      </c>
      <c r="H113" t="inlineStr">
        <is>
          <t>Övriga Aktiebolag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46326</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12988-2024</t>
        </is>
      </c>
      <c r="B115" t="inlineStr">
        <is>
          <t>avverkningsanmälan</t>
        </is>
      </c>
      <c r="C115" t="inlineStr">
        <is>
          <t>Föryngringsavverkning</t>
        </is>
      </c>
      <c r="D115" s="1" t="n">
        <v>45385</v>
      </c>
      <c r="E115" s="1" t="n">
        <v>46326</v>
      </c>
      <c r="F115" t="inlineStr">
        <is>
          <t>SKÅNE LÄN</t>
        </is>
      </c>
      <c r="G115" t="inlineStr">
        <is>
          <t>TOMELILLA</t>
        </is>
      </c>
      <c r="H115" t="inlineStr">
        <is>
          <t>Övriga Aktiebolag</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15305-2025</t>
        </is>
      </c>
      <c r="B116" t="inlineStr">
        <is>
          <t>avverkningsanmälan</t>
        </is>
      </c>
      <c r="C116" t="inlineStr">
        <is>
          <t>Avverkning för annat ändamål</t>
        </is>
      </c>
      <c r="D116" s="1" t="n">
        <v>45746</v>
      </c>
      <c r="E116" s="1" t="n">
        <v>46326</v>
      </c>
      <c r="F116" t="inlineStr">
        <is>
          <t>SKÅNE LÄN</t>
        </is>
      </c>
      <c r="G116" t="inlineStr">
        <is>
          <t>TOMELILLA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60817-2023</t>
        </is>
      </c>
      <c r="B117" t="inlineStr">
        <is>
          <t>avverkningsanmälan</t>
        </is>
      </c>
      <c r="C117" t="inlineStr">
        <is>
          <t>Föryngringsavverkning</t>
        </is>
      </c>
      <c r="D117" s="1" t="n">
        <v>45260</v>
      </c>
      <c r="E117" s="1" t="n">
        <v>46326</v>
      </c>
      <c r="F117" t="inlineStr">
        <is>
          <t>SKÅNE LÄN</t>
        </is>
      </c>
      <c r="G117" t="inlineStr">
        <is>
          <t>TOMELILLA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46326</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32955-2026</t>
        </is>
      </c>
      <c r="B119" t="inlineStr">
        <is>
          <t>avverkningsanmälan</t>
        </is>
      </c>
      <c r="C119" t="inlineStr">
        <is>
          <t>Föryngringsavverkning</t>
        </is>
      </c>
      <c r="D119" s="1" t="n">
        <v>46244</v>
      </c>
      <c r="E119" s="1" t="n">
        <v>46326</v>
      </c>
      <c r="F119" t="inlineStr">
        <is>
          <t>SKÅNE LÄN</t>
        </is>
      </c>
      <c r="G119" t="inlineStr">
        <is>
          <t>TOMELILLA</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12310-2023</t>
        </is>
      </c>
      <c r="B120" t="inlineStr">
        <is>
          <t>avverkningsanmälan</t>
        </is>
      </c>
      <c r="C120" t="inlineStr">
        <is>
          <t>Föryngringsavverkning</t>
        </is>
      </c>
      <c r="D120" s="1" t="n">
        <v>44999</v>
      </c>
      <c r="E120" s="1" t="n">
        <v>46326</v>
      </c>
      <c r="F120" t="inlineStr">
        <is>
          <t>SKÅNE LÄN</t>
        </is>
      </c>
      <c r="G120" t="inlineStr">
        <is>
          <t>TOMELILLA</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15921-2025</t>
        </is>
      </c>
      <c r="B121" t="inlineStr">
        <is>
          <t>avverkningsanmälan</t>
        </is>
      </c>
      <c r="C121" t="inlineStr">
        <is>
          <t>Föryngringsavverkning</t>
        </is>
      </c>
      <c r="D121" s="1" t="n">
        <v>45749</v>
      </c>
      <c r="E121" s="1" t="n">
        <v>46326</v>
      </c>
      <c r="F121" t="inlineStr">
        <is>
          <t>SKÅNE LÄN</t>
        </is>
      </c>
      <c r="G121" t="inlineStr">
        <is>
          <t>TOMELILLA</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35742-2024</t>
        </is>
      </c>
      <c r="B122" t="inlineStr">
        <is>
          <t>avverkningsanmälan</t>
        </is>
      </c>
      <c r="C122" t="inlineStr">
        <is>
          <t>Föryngringsavverkning</t>
        </is>
      </c>
      <c r="D122" s="1" t="n">
        <v>45532</v>
      </c>
      <c r="E122" s="1" t="n">
        <v>46326</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35715-2024</t>
        </is>
      </c>
      <c r="B123" t="inlineStr">
        <is>
          <t>avverkningsanmälan</t>
        </is>
      </c>
      <c r="C123" t="inlineStr">
        <is>
          <t>Föryngringsavverkning</t>
        </is>
      </c>
      <c r="D123" s="1" t="n">
        <v>45532</v>
      </c>
      <c r="E123" s="1" t="n">
        <v>46326</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40128-2026</t>
        </is>
      </c>
      <c r="B124" t="inlineStr">
        <is>
          <t>avverkningsanmälan</t>
        </is>
      </c>
      <c r="C124" t="inlineStr">
        <is>
          <t>Föryngringsavverkning</t>
        </is>
      </c>
      <c r="D124" s="1" t="n">
        <v>46293</v>
      </c>
      <c r="E124" s="1" t="n">
        <v>46326</v>
      </c>
      <c r="F124" t="inlineStr">
        <is>
          <t>SKÅNE LÄN</t>
        </is>
      </c>
      <c r="G124" t="inlineStr">
        <is>
          <t>TOMELILLA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46326</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46326</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40129-2026</t>
        </is>
      </c>
      <c r="B127" t="inlineStr">
        <is>
          <t>avverkningsanmälan</t>
        </is>
      </c>
      <c r="C127" t="inlineStr">
        <is>
          <t>Föryngringsavverkning</t>
        </is>
      </c>
      <c r="D127" s="1" t="n">
        <v>46293</v>
      </c>
      <c r="E127" s="1" t="n">
        <v>46326</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25597-2026</t>
        </is>
      </c>
      <c r="B128" t="inlineStr">
        <is>
          <t>avverkningsanmälan</t>
        </is>
      </c>
      <c r="C128" t="inlineStr">
        <is>
          <t>Föryngringsavverkning</t>
        </is>
      </c>
      <c r="D128" s="1" t="n">
        <v>46177</v>
      </c>
      <c r="E128" s="1" t="n">
        <v>46326</v>
      </c>
      <c r="F128" t="inlineStr">
        <is>
          <t>SKÅNE LÄN</t>
        </is>
      </c>
      <c r="G128" t="inlineStr">
        <is>
          <t>TOMELILLA</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23185-2025</t>
        </is>
      </c>
      <c r="B129" t="inlineStr">
        <is>
          <t>avverkningsanmälan</t>
        </is>
      </c>
      <c r="C129" t="inlineStr">
        <is>
          <t>Avverkning för att bevara och utveckla /försöksver</t>
        </is>
      </c>
      <c r="D129" s="1" t="n">
        <v>45791</v>
      </c>
      <c r="E129" s="1" t="n">
        <v>46326</v>
      </c>
      <c r="F129" t="inlineStr">
        <is>
          <t>SKÅNE LÄN</t>
        </is>
      </c>
      <c r="G129" t="inlineStr">
        <is>
          <t>TOMELILLA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46326</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46326</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32948-2026</t>
        </is>
      </c>
      <c r="B132" t="inlineStr">
        <is>
          <t>avverkningsanmälan</t>
        </is>
      </c>
      <c r="C132" t="inlineStr">
        <is>
          <t>Föryngringsavverkning</t>
        </is>
      </c>
      <c r="D132" s="1" t="n">
        <v>46244</v>
      </c>
      <c r="E132" s="1" t="n">
        <v>46326</v>
      </c>
      <c r="F132" t="inlineStr">
        <is>
          <t>SKÅNE LÄN</t>
        </is>
      </c>
      <c r="G132" t="inlineStr">
        <is>
          <t>TOMELILLA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35897-2026</t>
        </is>
      </c>
      <c r="B133" t="inlineStr">
        <is>
          <t>avverkningsanmälan</t>
        </is>
      </c>
      <c r="C133" t="inlineStr">
        <is>
          <t>Föryngringsavverkning</t>
        </is>
      </c>
      <c r="D133" s="1" t="n">
        <v>46266</v>
      </c>
      <c r="E133" s="1" t="n">
        <v>46326</v>
      </c>
      <c r="F133" t="inlineStr">
        <is>
          <t>SKÅNE LÄN</t>
        </is>
      </c>
      <c r="G133" t="inlineStr">
        <is>
          <t>TOMELILLA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43306-2025</t>
        </is>
      </c>
      <c r="B134" t="inlineStr">
        <is>
          <t>avverkningsanmälan</t>
        </is>
      </c>
      <c r="C134" t="inlineStr">
        <is>
          <t>Föryngringsavverkning</t>
        </is>
      </c>
      <c r="D134" s="1" t="n">
        <v>45910</v>
      </c>
      <c r="E134" s="1" t="n">
        <v>46326</v>
      </c>
      <c r="F134" t="inlineStr">
        <is>
          <t>SKÅNE LÄN</t>
        </is>
      </c>
      <c r="G134" t="inlineStr">
        <is>
          <t>TOMELILLA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38074-2026</t>
        </is>
      </c>
      <c r="B135" t="inlineStr">
        <is>
          <t>avverkningsanmälan</t>
        </is>
      </c>
      <c r="C135" t="inlineStr">
        <is>
          <t>Föryngringsavverkning</t>
        </is>
      </c>
      <c r="D135" s="1" t="n">
        <v>46280</v>
      </c>
      <c r="E135" s="1" t="n">
        <v>46326</v>
      </c>
      <c r="F135" t="inlineStr">
        <is>
          <t>SKÅNE LÄN</t>
        </is>
      </c>
      <c r="G135" t="inlineStr">
        <is>
          <t>TOMELILLA</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10908-2026</t>
        </is>
      </c>
      <c r="B136" t="inlineStr">
        <is>
          <t>avverkningsanmälan</t>
        </is>
      </c>
      <c r="C136" t="inlineStr">
        <is>
          <t>Föryngringsavverkning</t>
        </is>
      </c>
      <c r="D136" s="1" t="n">
        <v>46079</v>
      </c>
      <c r="E136" s="1" t="n">
        <v>46326</v>
      </c>
      <c r="F136" t="inlineStr">
        <is>
          <t>SKÅNE LÄN</t>
        </is>
      </c>
      <c r="G136" t="inlineStr">
        <is>
          <t>TOMELILLA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37743-2026</t>
        </is>
      </c>
      <c r="B137" t="inlineStr">
        <is>
          <t>avverkningsanmälan</t>
        </is>
      </c>
      <c r="C137" t="inlineStr">
        <is>
          <t>Föryngringsavverkning</t>
        </is>
      </c>
      <c r="D137" s="1" t="n">
        <v>46279</v>
      </c>
      <c r="E137" s="1" t="n">
        <v>46326</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46326</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2026-10-31T03:26:39Z</dcterms:created>
  <dcterms:modified xmlns:dcterms="http://purl.org/dc/terms/" xmlns:xsi="http://www.w3.org/2001/XMLSchema-instance" xsi:type="dcterms:W3CDTF">2026-10-31T03:26:39Z</dcterms:modified>
</cp:coreProperties>
</file>