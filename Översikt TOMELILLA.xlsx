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29860-2022</t>
        </is>
      </c>
      <c r="B2" t="inlineStr">
        <is>
          <t>avverkningsanmälan</t>
        </is>
      </c>
      <c r="C2" t="inlineStr">
        <is>
          <t>Avverkning för annat ändamål</t>
        </is>
      </c>
      <c r="D2" s="1" t="n">
        <v>44756</v>
      </c>
      <c r="E2" s="1" t="n">
        <v>46322</v>
      </c>
      <c r="F2" t="inlineStr">
        <is>
          <t>SKÅNE LÄN</t>
        </is>
      </c>
      <c r="G2" t="inlineStr">
        <is>
          <t>TOMELILLA</t>
        </is>
      </c>
      <c r="I2" t="n">
        <v>14.1</v>
      </c>
      <c r="J2" t="n">
        <v>1</v>
      </c>
      <c r="K2" t="n">
        <v>10</v>
      </c>
      <c r="L2" t="n">
        <v>10</v>
      </c>
      <c r="M2" t="n">
        <v>3</v>
      </c>
      <c r="N2" t="n">
        <v>3</v>
      </c>
      <c r="O2" t="n">
        <v>0</v>
      </c>
      <c r="P2" t="n">
        <v>0</v>
      </c>
      <c r="Q2" t="n">
        <v>16</v>
      </c>
      <c r="R2" t="n">
        <v>6</v>
      </c>
      <c r="S2" t="n">
        <v>27</v>
      </c>
      <c r="T2" t="n">
        <v>83</v>
      </c>
      <c r="U2" t="n">
        <v>52</v>
      </c>
      <c r="V2" s="2" t="inlineStr">
        <is>
          <t>Almlav
Ask
Askvårtlav
Corticeus longulus
Fläcklungört
Mulmknäppare
Bokvedvivel
Bokvårtlav
Desmeknopp
Fläderlundlav
Hålnunneört
Hålskenknäppare
Jordtistel
Sommarfibbla
Stiftklotterlav
Tvåfärgad barksvartbagge
Grov baronmossa
Grå skärelav
Guldlockmossa
Gulnål
Lönnlav
Piskbaronmossa
Platt fjädermossa
Rikfruktig blemlav
Strävlosta
Trubbfjädermossa
Sankt pers nycklar</t>
        </is>
      </c>
      <c r="W2">
        <f>HYPERLINK("https://klasma.github.io/Logging_1270/artfynd/A 29860-2022 artfynd.xlsx", "A 29860-2022")</f>
        <v/>
      </c>
      <c r="X2">
        <f>HYPERLINK("https://klasma.github.io/Logging_1270/kartor/A 29860-2022 karta.png", "A 29860-2022")</f>
        <v/>
      </c>
      <c r="Y2">
        <f>HYPERLINK("https://klasma.github.io/Logging_1270/kartor_geotiff/A 29860-2022 georefererad karta.tif", "A 29860-2022")</f>
        <v/>
      </c>
      <c r="AA2">
        <f>HYPERLINK("https://klasma.github.io/Logging_1270/klagomål/A 29860-2022 FSC-klagomål.docx", "A 29860-2022")</f>
        <v/>
      </c>
      <c r="AB2">
        <f>HYPERLINK("https://klasma.github.io/Logging_1270/klagomålsmail/A 29860-2022 FSC-klagomål mail.docx", "A 29860-2022")</f>
        <v/>
      </c>
      <c r="AC2">
        <f>HYPERLINK("https://klasma.github.io/Logging_1270/tillsyn/A 29860-2022 tillsynsbegäran.docx", "A 29860-2022")</f>
        <v/>
      </c>
      <c r="AD2">
        <f>HYPERLINK("https://klasma.github.io/Logging_1270/tillsynsmail/A 29860-2022 tillsynsbegäran mail.docx", "A 29860-2022")</f>
        <v/>
      </c>
    </row>
    <row r="3" ht="15" customHeight="1">
      <c r="A3" t="inlineStr">
        <is>
          <t>A 52044-2025</t>
        </is>
      </c>
      <c r="B3" t="inlineStr">
        <is>
          <t>avverkningsanmälan</t>
        </is>
      </c>
      <c r="C3" t="inlineStr">
        <is>
          <t>Föryngringsavverkning</t>
        </is>
      </c>
      <c r="D3" s="1" t="n">
        <v>45952</v>
      </c>
      <c r="E3" s="1" t="n">
        <v>46322</v>
      </c>
      <c r="F3" t="inlineStr">
        <is>
          <t>SKÅNE LÄN</t>
        </is>
      </c>
      <c r="G3" t="inlineStr">
        <is>
          <t>TOMELILLA</t>
        </is>
      </c>
      <c r="H3" t="inlineStr">
        <is>
          <t>Övriga Aktiebolag</t>
        </is>
      </c>
      <c r="I3" t="n">
        <v>9.6</v>
      </c>
      <c r="J3" t="n">
        <v>15</v>
      </c>
      <c r="K3" t="n">
        <v>0</v>
      </c>
      <c r="L3" t="n">
        <v>6</v>
      </c>
      <c r="M3" t="n">
        <v>1</v>
      </c>
      <c r="N3" t="n">
        <v>1</v>
      </c>
      <c r="O3" t="n">
        <v>1</v>
      </c>
      <c r="P3" t="n">
        <v>0</v>
      </c>
      <c r="Q3" t="n">
        <v>9</v>
      </c>
      <c r="R3" t="n">
        <v>3</v>
      </c>
      <c r="S3" t="n">
        <v>19</v>
      </c>
      <c r="T3" t="n">
        <v>24</v>
      </c>
      <c r="U3" t="n">
        <v>1</v>
      </c>
      <c r="V3" s="2" t="inlineStr">
        <is>
          <t>Bechsteins fladdermus
Ask
Silverblåvinge
Barbastell
Brunlångöra
Fransfladdermus
Granspira
Grå klaffmätare
Nordfladdermus
Dvärgpipistrell
Gråskimlig fladdermus
Gröngöling
Mustaschfladdermus
Större brunfladdermus
Större musöra
Trollpipistrell
Vattenfladdermus
Vanlig padda
Fläcknycklar</t>
        </is>
      </c>
      <c r="W3">
        <f>HYPERLINK("https://klasma.github.io/Logging_1270/artfynd/A 52044-2025 artfynd.xlsx", "A 52044-2025")</f>
        <v/>
      </c>
      <c r="X3">
        <f>HYPERLINK("https://klasma.github.io/Logging_1270/kartor/A 52044-2025 karta.png", "A 52044-2025")</f>
        <v/>
      </c>
      <c r="Y3">
        <f>HYPERLINK("https://klasma.github.io/Logging_1270/kartor_geotiff/A 52044-2025 georefererad karta.tif", "A 52044-2025")</f>
        <v/>
      </c>
      <c r="AA3">
        <f>HYPERLINK("https://klasma.github.io/Logging_1270/klagomål/A 52044-2025 FSC-klagomål.docx", "A 52044-2025")</f>
        <v/>
      </c>
      <c r="AB3">
        <f>HYPERLINK("https://klasma.github.io/Logging_1270/klagomålsmail/A 52044-2025 FSC-klagomål mail.docx", "A 52044-2025")</f>
        <v/>
      </c>
      <c r="AC3">
        <f>HYPERLINK("https://klasma.github.io/Logging_1270/tillsyn/A 52044-2025 tillsynsbegäran.docx", "A 52044-2025")</f>
        <v/>
      </c>
      <c r="AD3">
        <f>HYPERLINK("https://klasma.github.io/Logging_1270/tillsynsmail/A 52044-2025 tillsynsbegäran mail.docx", "A 52044-2025")</f>
        <v/>
      </c>
    </row>
    <row r="4" ht="15" customHeight="1">
      <c r="A4" t="inlineStr">
        <is>
          <t>A 32389-2023</t>
        </is>
      </c>
      <c r="B4" t="inlineStr">
        <is>
          <t>avverkningsanmälan</t>
        </is>
      </c>
      <c r="C4" t="inlineStr">
        <is>
          <t>Föryngringsavverkning</t>
        </is>
      </c>
      <c r="D4" s="1" t="n">
        <v>45120</v>
      </c>
      <c r="E4" s="1" t="n">
        <v>46322</v>
      </c>
      <c r="F4" t="inlineStr">
        <is>
          <t>SKÅNE LÄN</t>
        </is>
      </c>
      <c r="G4" t="inlineStr">
        <is>
          <t>TOMELILLA</t>
        </is>
      </c>
      <c r="H4" t="inlineStr">
        <is>
          <t>Övriga Aktiebolag</t>
        </is>
      </c>
      <c r="I4" t="n">
        <v>10.8</v>
      </c>
      <c r="J4" t="n">
        <v>10</v>
      </c>
      <c r="K4" t="n">
        <v>1</v>
      </c>
      <c r="L4" t="n">
        <v>4</v>
      </c>
      <c r="M4" t="n">
        <v>0</v>
      </c>
      <c r="N4" t="n">
        <v>0</v>
      </c>
      <c r="O4" t="n">
        <v>1</v>
      </c>
      <c r="P4" t="n">
        <v>0</v>
      </c>
      <c r="Q4" t="n">
        <v>5</v>
      </c>
      <c r="R4" t="n">
        <v>1</v>
      </c>
      <c r="S4" t="n">
        <v>11</v>
      </c>
      <c r="T4" t="n">
        <v>17</v>
      </c>
      <c r="U4" t="n">
        <v>2</v>
      </c>
      <c r="V4" s="2" t="inlineStr">
        <is>
          <t>Bechsteins fladdermus
Barbastell
Brunlångöra
Fransfladdermus
Nordfladdermus
Tibast
Dvärgpipistrell
Mustaschfladdermus
Större brunfladdermus
Större musöra
Vattenfladdermus</t>
        </is>
      </c>
      <c r="W4">
        <f>HYPERLINK("https://klasma.github.io/Logging_1270/artfynd/A 32389-2023 artfynd.xlsx", "A 32389-2023")</f>
        <v/>
      </c>
      <c r="X4">
        <f>HYPERLINK("https://klasma.github.io/Logging_1270/kartor/A 32389-2023 karta.png", "A 32389-2023")</f>
        <v/>
      </c>
      <c r="Y4">
        <f>HYPERLINK("https://klasma.github.io/Logging_1270/kartor_geotiff/A 32389-2023 georefererad karta.tif", "A 32389-2023")</f>
        <v/>
      </c>
      <c r="AA4">
        <f>HYPERLINK("https://klasma.github.io/Logging_1270/klagomål/A 32389-2023 FSC-klagomål.docx", "A 32389-2023")</f>
        <v/>
      </c>
      <c r="AB4">
        <f>HYPERLINK("https://klasma.github.io/Logging_1270/klagomålsmail/A 32389-2023 FSC-klagomål mail.docx", "A 32389-2023")</f>
        <v/>
      </c>
      <c r="AC4">
        <f>HYPERLINK("https://klasma.github.io/Logging_1270/tillsyn/A 32389-2023 tillsynsbegäran.docx", "A 32389-2023")</f>
        <v/>
      </c>
      <c r="AD4">
        <f>HYPERLINK("https://klasma.github.io/Logging_1270/tillsynsmail/A 32389-2023 tillsynsbegäran mail.docx", "A 32389-2023")</f>
        <v/>
      </c>
    </row>
    <row r="5" ht="15" customHeight="1">
      <c r="A5" t="inlineStr">
        <is>
          <t>A 60809-2023</t>
        </is>
      </c>
      <c r="B5" t="inlineStr">
        <is>
          <t>avverkningsanmälan</t>
        </is>
      </c>
      <c r="C5" t="inlineStr">
        <is>
          <t>Föryngringsavverkning</t>
        </is>
      </c>
      <c r="D5" s="1" t="n">
        <v>45260</v>
      </c>
      <c r="E5" s="1" t="n">
        <v>46322</v>
      </c>
      <c r="F5" t="inlineStr">
        <is>
          <t>SKÅNE LÄN</t>
        </is>
      </c>
      <c r="G5" t="inlineStr">
        <is>
          <t>TOMELILLA</t>
        </is>
      </c>
      <c r="I5" t="n">
        <v>3.6</v>
      </c>
      <c r="J5" t="n">
        <v>2</v>
      </c>
      <c r="K5" t="n">
        <v>1</v>
      </c>
      <c r="L5" t="n">
        <v>1</v>
      </c>
      <c r="M5" t="n">
        <v>0</v>
      </c>
      <c r="N5" t="n">
        <v>0</v>
      </c>
      <c r="O5" t="n">
        <v>0</v>
      </c>
      <c r="P5" t="n">
        <v>0</v>
      </c>
      <c r="Q5" t="n">
        <v>1</v>
      </c>
      <c r="R5" t="n">
        <v>0</v>
      </c>
      <c r="S5" t="n">
        <v>4</v>
      </c>
      <c r="T5" t="n">
        <v>5</v>
      </c>
      <c r="U5" t="n">
        <v>5</v>
      </c>
      <c r="V5" s="2" t="inlineStr">
        <is>
          <t>Gropticka
Grovticka
Kungsfågel
Vanlig padda</t>
        </is>
      </c>
      <c r="W5">
        <f>HYPERLINK("https://klasma.github.io/Logging_1270/artfynd/A 60809-2023 artfynd.xlsx", "A 60809-2023")</f>
        <v/>
      </c>
      <c r="X5">
        <f>HYPERLINK("https://klasma.github.io/Logging_1270/kartor/A 60809-2023 karta.png", "A 60809-2023")</f>
        <v/>
      </c>
      <c r="Y5">
        <f>HYPERLINK("https://klasma.github.io/Logging_1270/kartor_geotiff/A 60809-2023 georefererad karta.tif", "A 60809-2023")</f>
        <v/>
      </c>
      <c r="AA5">
        <f>HYPERLINK("https://klasma.github.io/Logging_1270/klagomål/A 60809-2023 FSC-klagomål.docx", "A 60809-2023")</f>
        <v/>
      </c>
      <c r="AB5">
        <f>HYPERLINK("https://klasma.github.io/Logging_1270/klagomålsmail/A 60809-2023 FSC-klagomål mail.docx", "A 60809-2023")</f>
        <v/>
      </c>
      <c r="AC5">
        <f>HYPERLINK("https://klasma.github.io/Logging_1270/tillsyn/A 60809-2023 tillsynsbegäran.docx", "A 60809-2023")</f>
        <v/>
      </c>
      <c r="AD5">
        <f>HYPERLINK("https://klasma.github.io/Logging_1270/tillsynsmail/A 60809-2023 tillsynsbegäran mail.docx", "A 60809-2023")</f>
        <v/>
      </c>
    </row>
    <row r="6" ht="15" customHeight="1">
      <c r="A6" t="inlineStr">
        <is>
          <t>A 2018-2024</t>
        </is>
      </c>
      <c r="B6" t="inlineStr">
        <is>
          <t>avverkningsanmälan</t>
        </is>
      </c>
      <c r="C6" t="inlineStr">
        <is>
          <t>Föryngringsavverkning</t>
        </is>
      </c>
      <c r="D6" s="1" t="n">
        <v>45308</v>
      </c>
      <c r="E6" s="1" t="n">
        <v>46322</v>
      </c>
      <c r="F6" t="inlineStr">
        <is>
          <t>SKÅNE LÄN</t>
        </is>
      </c>
      <c r="G6" t="inlineStr">
        <is>
          <t>TOMELILLA</t>
        </is>
      </c>
      <c r="I6" t="n">
        <v>17.2</v>
      </c>
      <c r="J6" t="n">
        <v>1</v>
      </c>
      <c r="K6" t="n">
        <v>1</v>
      </c>
      <c r="L6" t="n">
        <v>0</v>
      </c>
      <c r="M6" t="n">
        <v>1</v>
      </c>
      <c r="N6" t="n">
        <v>0</v>
      </c>
      <c r="O6" t="n">
        <v>0</v>
      </c>
      <c r="P6" t="n">
        <v>0</v>
      </c>
      <c r="Q6" t="n">
        <v>1</v>
      </c>
      <c r="R6" t="n">
        <v>1</v>
      </c>
      <c r="S6" t="n">
        <v>3</v>
      </c>
      <c r="T6" t="n">
        <v>3</v>
      </c>
      <c r="U6" t="n">
        <v>3</v>
      </c>
      <c r="V6" s="2" t="inlineStr">
        <is>
          <t>Småvänderot
Västlig hakmossa
Röd glada</t>
        </is>
      </c>
      <c r="W6">
        <f>HYPERLINK("https://klasma.github.io/Logging_1270/artfynd/A 2018-2024 artfynd.xlsx", "A 2018-2024")</f>
        <v/>
      </c>
      <c r="X6">
        <f>HYPERLINK("https://klasma.github.io/Logging_1270/kartor/A 2018-2024 karta.png", "A 2018-2024")</f>
        <v/>
      </c>
      <c r="Y6">
        <f>HYPERLINK("https://klasma.github.io/Logging_1270/kartor_geotiff/A 2018-2024 georefererad karta.tif", "A 2018-2024")</f>
        <v/>
      </c>
      <c r="AA6">
        <f>HYPERLINK("https://klasma.github.io/Logging_1270/klagomål/A 2018-2024 FSC-klagomål.docx", "A 2018-2024")</f>
        <v/>
      </c>
      <c r="AB6">
        <f>HYPERLINK("https://klasma.github.io/Logging_1270/klagomålsmail/A 2018-2024 FSC-klagomål mail.docx", "A 2018-2024")</f>
        <v/>
      </c>
      <c r="AC6">
        <f>HYPERLINK("https://klasma.github.io/Logging_1270/tillsyn/A 2018-2024 tillsynsbegäran.docx", "A 2018-2024")</f>
        <v/>
      </c>
      <c r="AD6">
        <f>HYPERLINK("https://klasma.github.io/Logging_1270/tillsynsmail/A 2018-2024 tillsynsbegäran mail.docx", "A 2018-2024")</f>
        <v/>
      </c>
      <c r="AE6">
        <f>HYPERLINK("https://klasma.github.io/Logging_1270/fåglar/A 2018-2024 prioriterade fågelarter.docx", "A 2018-2024")</f>
        <v/>
      </c>
    </row>
    <row r="7" ht="15" customHeight="1">
      <c r="A7" t="inlineStr">
        <is>
          <t>A 14152-2023</t>
        </is>
      </c>
      <c r="B7" t="inlineStr">
        <is>
          <t>avverkningsanmälan</t>
        </is>
      </c>
      <c r="C7" t="inlineStr">
        <is>
          <t>Föryngringsavverkning</t>
        </is>
      </c>
      <c r="D7" s="1" t="n">
        <v>45009</v>
      </c>
      <c r="E7" s="1" t="n">
        <v>46322</v>
      </c>
      <c r="F7" t="inlineStr">
        <is>
          <t>SKÅNE LÄN</t>
        </is>
      </c>
      <c r="G7" t="inlineStr">
        <is>
          <t>TOMELILLA</t>
        </is>
      </c>
      <c r="I7" t="n">
        <v>3.5</v>
      </c>
      <c r="J7" t="n">
        <v>3</v>
      </c>
      <c r="K7" t="n">
        <v>0</v>
      </c>
      <c r="L7" t="n">
        <v>0</v>
      </c>
      <c r="M7" t="n">
        <v>0</v>
      </c>
      <c r="N7" t="n">
        <v>0</v>
      </c>
      <c r="O7" t="n">
        <v>0</v>
      </c>
      <c r="P7" t="n">
        <v>0</v>
      </c>
      <c r="Q7" t="n">
        <v>0</v>
      </c>
      <c r="R7" t="n">
        <v>0</v>
      </c>
      <c r="S7" t="n">
        <v>3</v>
      </c>
      <c r="T7" t="n">
        <v>3</v>
      </c>
      <c r="U7" t="n">
        <v>3</v>
      </c>
      <c r="V7" s="2" t="inlineStr">
        <is>
          <t>Spillkråka
Kråka
Röd glada</t>
        </is>
      </c>
      <c r="W7">
        <f>HYPERLINK("https://klasma.github.io/Logging_1270/artfynd/A 14152-2023 artfynd.xlsx", "A 14152-2023")</f>
        <v/>
      </c>
      <c r="X7">
        <f>HYPERLINK("https://klasma.github.io/Logging_1270/kartor/A 14152-2023 karta.png", "A 14152-2023")</f>
        <v/>
      </c>
      <c r="Y7">
        <f>HYPERLINK("https://klasma.github.io/Logging_1270/kartor_geotiff/A 14152-2023 georefererad karta.tif", "A 14152-2023")</f>
        <v/>
      </c>
      <c r="AA7">
        <f>HYPERLINK("https://klasma.github.io/Logging_1270/klagomål/A 14152-2023 FSC-klagomål.docx", "A 14152-2023")</f>
        <v/>
      </c>
      <c r="AB7">
        <f>HYPERLINK("https://klasma.github.io/Logging_1270/klagomålsmail/A 14152-2023 FSC-klagomål mail.docx", "A 14152-2023")</f>
        <v/>
      </c>
      <c r="AC7">
        <f>HYPERLINK("https://klasma.github.io/Logging_1270/tillsyn/A 14152-2023 tillsynsbegäran.docx", "A 14152-2023")</f>
        <v/>
      </c>
      <c r="AD7">
        <f>HYPERLINK("https://klasma.github.io/Logging_1270/tillsynsmail/A 14152-2023 tillsynsbegäran mail.docx", "A 14152-2023")</f>
        <v/>
      </c>
      <c r="AE7">
        <f>HYPERLINK("https://klasma.github.io/Logging_1270/fåglar/A 14152-2023 prioriterade fågelarter.docx", "A 14152-2023")</f>
        <v/>
      </c>
    </row>
    <row r="8" ht="15" customHeight="1">
      <c r="A8" t="inlineStr">
        <is>
          <t>A 566-2024</t>
        </is>
      </c>
      <c r="B8" t="inlineStr">
        <is>
          <t>avverkningsanmälan</t>
        </is>
      </c>
      <c r="C8" t="inlineStr">
        <is>
          <t>Föryngringsavverkning</t>
        </is>
      </c>
      <c r="D8" s="1" t="n">
        <v>45299</v>
      </c>
      <c r="E8" s="1" t="n">
        <v>46322</v>
      </c>
      <c r="F8" t="inlineStr">
        <is>
          <t>SKÅNE LÄN</t>
        </is>
      </c>
      <c r="G8" t="inlineStr">
        <is>
          <t>TOMELILLA</t>
        </is>
      </c>
      <c r="H8" t="inlineStr">
        <is>
          <t>Övriga Aktiebolag</t>
        </is>
      </c>
      <c r="I8" t="n">
        <v>5.7</v>
      </c>
      <c r="J8" t="n">
        <v>0</v>
      </c>
      <c r="K8" t="n">
        <v>0</v>
      </c>
      <c r="L8" t="n">
        <v>1</v>
      </c>
      <c r="M8" t="n">
        <v>0</v>
      </c>
      <c r="N8" t="n">
        <v>1</v>
      </c>
      <c r="O8" t="n">
        <v>0</v>
      </c>
      <c r="P8" t="n">
        <v>0</v>
      </c>
      <c r="Q8" t="n">
        <v>2</v>
      </c>
      <c r="R8" t="n">
        <v>1</v>
      </c>
      <c r="S8" t="n">
        <v>2</v>
      </c>
      <c r="T8" t="n">
        <v>2</v>
      </c>
      <c r="U8" t="n">
        <v>0</v>
      </c>
      <c r="V8" s="2" t="inlineStr">
        <is>
          <t>Ask
Skogslysing</t>
        </is>
      </c>
      <c r="W8">
        <f>HYPERLINK("https://klasma.github.io/Logging_1270/artfynd/A 566-2024 artfynd.xlsx", "A 566-2024")</f>
        <v/>
      </c>
      <c r="X8">
        <f>HYPERLINK("https://klasma.github.io/Logging_1270/kartor/A 566-2024 karta.png", "A 566-2024")</f>
        <v/>
      </c>
      <c r="Y8">
        <f>HYPERLINK("https://klasma.github.io/Logging_1270/kartor_geotiff/A 566-2024 georefererad karta.tif", "A 566-2024")</f>
        <v/>
      </c>
      <c r="AA8">
        <f>HYPERLINK("https://klasma.github.io/Logging_1270/klagomål/A 566-2024 FSC-klagomål.docx", "A 566-2024")</f>
        <v/>
      </c>
      <c r="AB8">
        <f>HYPERLINK("https://klasma.github.io/Logging_1270/klagomålsmail/A 566-2024 FSC-klagomål mail.docx", "A 566-2024")</f>
        <v/>
      </c>
      <c r="AC8">
        <f>HYPERLINK("https://klasma.github.io/Logging_1270/tillsyn/A 566-2024 tillsynsbegäran.docx", "A 566-2024")</f>
        <v/>
      </c>
      <c r="AD8">
        <f>HYPERLINK("https://klasma.github.io/Logging_1270/tillsynsmail/A 566-2024 tillsynsbegäran mail.docx", "A 566-2024")</f>
        <v/>
      </c>
    </row>
    <row r="9" ht="15" customHeight="1">
      <c r="A9" t="inlineStr">
        <is>
          <t>A 19500-2024</t>
        </is>
      </c>
      <c r="B9" t="inlineStr">
        <is>
          <t>avverkningsanmälan</t>
        </is>
      </c>
      <c r="C9" t="inlineStr">
        <is>
          <t>Föryngringsavverkning</t>
        </is>
      </c>
      <c r="D9" s="1" t="n">
        <v>45429</v>
      </c>
      <c r="E9" s="1" t="n">
        <v>46322</v>
      </c>
      <c r="F9" t="inlineStr">
        <is>
          <t>SKÅNE LÄN</t>
        </is>
      </c>
      <c r="G9" t="inlineStr">
        <is>
          <t>TOMELILLA</t>
        </is>
      </c>
      <c r="I9" t="n">
        <v>3.2</v>
      </c>
      <c r="J9" t="n">
        <v>0</v>
      </c>
      <c r="K9" t="n">
        <v>0</v>
      </c>
      <c r="L9" t="n">
        <v>0</v>
      </c>
      <c r="M9" t="n">
        <v>0</v>
      </c>
      <c r="N9" t="n">
        <v>0</v>
      </c>
      <c r="O9" t="n">
        <v>0</v>
      </c>
      <c r="P9" t="n">
        <v>0</v>
      </c>
      <c r="Q9" t="n">
        <v>0</v>
      </c>
      <c r="R9" t="n">
        <v>0</v>
      </c>
      <c r="S9" t="n">
        <v>2</v>
      </c>
      <c r="T9" t="n">
        <v>2</v>
      </c>
      <c r="U9" t="n">
        <v>2</v>
      </c>
      <c r="V9" s="2" t="inlineStr">
        <is>
          <t>Blåbär
Buskstjärnblomma</t>
        </is>
      </c>
      <c r="W9">
        <f>HYPERLINK("https://klasma.github.io/Logging_1270/artfynd/A 19500-2024 artfynd.xlsx", "A 19500-2024")</f>
        <v/>
      </c>
      <c r="X9">
        <f>HYPERLINK("https://klasma.github.io/Logging_1270/kartor/A 19500-2024 karta.png", "A 19500-2024")</f>
        <v/>
      </c>
      <c r="Y9">
        <f>HYPERLINK("https://klasma.github.io/Logging_1270/kartor_geotiff/A 19500-2024 georefererad karta.tif", "A 19500-2024")</f>
        <v/>
      </c>
      <c r="AA9">
        <f>HYPERLINK("https://klasma.github.io/Logging_1270/klagomål/A 19500-2024 FSC-klagomål.docx", "A 19500-2024")</f>
        <v/>
      </c>
      <c r="AB9">
        <f>HYPERLINK("https://klasma.github.io/Logging_1270/klagomålsmail/A 19500-2024 FSC-klagomål mail.docx", "A 19500-2024")</f>
        <v/>
      </c>
      <c r="AC9">
        <f>HYPERLINK("https://klasma.github.io/Logging_1270/tillsyn/A 19500-2024 tillsynsbegäran.docx", "A 19500-2024")</f>
        <v/>
      </c>
      <c r="AD9">
        <f>HYPERLINK("https://klasma.github.io/Logging_1270/tillsynsmail/A 19500-2024 tillsynsbegäran mail.docx", "A 19500-2024")</f>
        <v/>
      </c>
    </row>
    <row r="10" ht="15" customHeight="1">
      <c r="A10" t="inlineStr">
        <is>
          <t>S 1011-2025</t>
        </is>
      </c>
      <c r="B10" t="inlineStr">
        <is>
          <t>samrådsanmälan</t>
        </is>
      </c>
      <c r="C10" t="inlineStr">
        <is>
          <t>Askåterföring</t>
        </is>
      </c>
      <c r="D10" s="1" t="n">
        <v>45744</v>
      </c>
      <c r="E10" s="1" t="n">
        <v>46322</v>
      </c>
      <c r="F10" t="inlineStr">
        <is>
          <t>SKÅNE LÄN</t>
        </is>
      </c>
      <c r="G10" t="inlineStr">
        <is>
          <t>TOMELILLA</t>
        </is>
      </c>
      <c r="H10" t="inlineStr">
        <is>
          <t>Övriga Aktiebolag</t>
        </is>
      </c>
      <c r="I10" t="n">
        <v>113.9</v>
      </c>
      <c r="J10" t="n">
        <v>0</v>
      </c>
      <c r="K10" t="n">
        <v>0</v>
      </c>
      <c r="L10" t="n">
        <v>1</v>
      </c>
      <c r="M10" t="n">
        <v>0</v>
      </c>
      <c r="N10" t="n">
        <v>1</v>
      </c>
      <c r="O10" t="n">
        <v>0</v>
      </c>
      <c r="P10" t="n">
        <v>0</v>
      </c>
      <c r="Q10" t="n">
        <v>2</v>
      </c>
      <c r="R10" t="n">
        <v>1</v>
      </c>
      <c r="S10" t="n">
        <v>2</v>
      </c>
      <c r="T10" t="n">
        <v>3</v>
      </c>
      <c r="U10" t="n">
        <v>0</v>
      </c>
      <c r="V10" s="2" t="inlineStr">
        <is>
          <t>Ask
Skogslysing</t>
        </is>
      </c>
      <c r="W10">
        <f>HYPERLINK("https://klasma.github.io/Logging_1270/artfynd/S 1011-2025 artfynd.xlsx", "S 1011-2025")</f>
        <v/>
      </c>
      <c r="X10">
        <f>HYPERLINK("https://klasma.github.io/Logging_1270/kartor/S 1011-2025 karta.png", "S 1011-2025")</f>
        <v/>
      </c>
      <c r="Y10">
        <f>HYPERLINK("https://klasma.github.io/Logging_1270/kartor_geotiff/S 1011-2025 georefererad karta.tif", "S 1011-2025")</f>
        <v/>
      </c>
      <c r="AA10">
        <f>HYPERLINK("https://klasma.github.io/Logging_1270/klagomål/S 1011-2025 FSC-klagomål.docx", "S 1011-2025")</f>
        <v/>
      </c>
      <c r="AB10">
        <f>HYPERLINK("https://klasma.github.io/Logging_1270/klagomålsmail/S 1011-2025 FSC-klagomål mail.docx", "S 1011-2025")</f>
        <v/>
      </c>
      <c r="AC10">
        <f>HYPERLINK("https://klasma.github.io/Logging_1270/tillsyn/S 1011-2025 tillsynsbegäran.docx", "S 1011-2025")</f>
        <v/>
      </c>
      <c r="AD10">
        <f>HYPERLINK("https://klasma.github.io/Logging_1270/tillsynsmail/S 1011-2025 tillsynsbegäran mail.docx", "S 1011-2025")</f>
        <v/>
      </c>
    </row>
    <row r="11" ht="15" customHeight="1">
      <c r="A11" t="inlineStr">
        <is>
          <t>A 8700-2022</t>
        </is>
      </c>
      <c r="B11" t="inlineStr">
        <is>
          <t>avverkningsanmälan</t>
        </is>
      </c>
      <c r="C11" t="inlineStr">
        <is>
          <t>Föryngringsavverkning</t>
        </is>
      </c>
      <c r="D11" s="1" t="n">
        <v>44613</v>
      </c>
      <c r="E11" s="1" t="n">
        <v>46322</v>
      </c>
      <c r="F11" t="inlineStr">
        <is>
          <t>SKÅNE LÄN</t>
        </is>
      </c>
      <c r="G11" t="inlineStr">
        <is>
          <t>TOMELILLA</t>
        </is>
      </c>
      <c r="H11" t="inlineStr">
        <is>
          <t>Övriga Aktiebolag</t>
        </is>
      </c>
      <c r="I11" t="n">
        <v>9.800000000000001</v>
      </c>
      <c r="J11" t="n">
        <v>1</v>
      </c>
      <c r="K11" t="n">
        <v>0</v>
      </c>
      <c r="L11" t="n">
        <v>0</v>
      </c>
      <c r="M11" t="n">
        <v>0</v>
      </c>
      <c r="N11" t="n">
        <v>0</v>
      </c>
      <c r="O11" t="n">
        <v>0</v>
      </c>
      <c r="P11" t="n">
        <v>0</v>
      </c>
      <c r="Q11" t="n">
        <v>0</v>
      </c>
      <c r="R11" t="n">
        <v>0</v>
      </c>
      <c r="S11" t="n">
        <v>1</v>
      </c>
      <c r="T11" t="n">
        <v>1</v>
      </c>
      <c r="U11" t="n">
        <v>0</v>
      </c>
      <c r="V11" s="2" t="inlineStr">
        <is>
          <t>Spillkråka</t>
        </is>
      </c>
      <c r="W11">
        <f>HYPERLINK("https://klasma.github.io/Logging_1270/artfynd/A 8700-2022 artfynd.xlsx", "A 8700-2022")</f>
        <v/>
      </c>
      <c r="X11">
        <f>HYPERLINK("https://klasma.github.io/Logging_1270/kartor/A 8700-2022 karta.png", "A 8700-2022")</f>
        <v/>
      </c>
      <c r="Y11">
        <f>HYPERLINK("https://klasma.github.io/Logging_1270/kartor_geotiff/A 8700-2022 georefererad karta.tif", "A 8700-2022")</f>
        <v/>
      </c>
      <c r="AA11">
        <f>HYPERLINK("https://klasma.github.io/Logging_1270/klagomål/A 8700-2022 FSC-klagomål.docx", "A 8700-2022")</f>
        <v/>
      </c>
      <c r="AB11">
        <f>HYPERLINK("https://klasma.github.io/Logging_1270/klagomålsmail/A 8700-2022 FSC-klagomål mail.docx", "A 8700-2022")</f>
        <v/>
      </c>
      <c r="AC11">
        <f>HYPERLINK("https://klasma.github.io/Logging_1270/tillsyn/A 8700-2022 tillsynsbegäran.docx", "A 8700-2022")</f>
        <v/>
      </c>
      <c r="AD11">
        <f>HYPERLINK("https://klasma.github.io/Logging_1270/tillsynsmail/A 8700-2022 tillsynsbegäran mail.docx", "A 8700-2022")</f>
        <v/>
      </c>
      <c r="AE11">
        <f>HYPERLINK("https://klasma.github.io/Logging_1270/fåglar/A 8700-2022 prioriterade fågelarter.docx", "A 8700-2022")</f>
        <v/>
      </c>
    </row>
    <row r="12" ht="15" customHeight="1">
      <c r="A12" t="inlineStr">
        <is>
          <t>A 23466-2022</t>
        </is>
      </c>
      <c r="B12" t="inlineStr">
        <is>
          <t>avverkningsanmälan</t>
        </is>
      </c>
      <c r="C12" t="inlineStr">
        <is>
          <t>Föryngringsavverkning</t>
        </is>
      </c>
      <c r="D12" s="1" t="n">
        <v>44721</v>
      </c>
      <c r="E12" s="1" t="n">
        <v>46322</v>
      </c>
      <c r="F12" t="inlineStr">
        <is>
          <t>SKÅNE LÄN</t>
        </is>
      </c>
      <c r="G12" t="inlineStr">
        <is>
          <t>TOMELILLA</t>
        </is>
      </c>
      <c r="H12" t="inlineStr">
        <is>
          <t>Övriga Aktiebolag</t>
        </is>
      </c>
      <c r="I12" t="n">
        <v>6.3</v>
      </c>
      <c r="J12" t="n">
        <v>0</v>
      </c>
      <c r="K12" t="n">
        <v>0</v>
      </c>
      <c r="L12" t="n">
        <v>1</v>
      </c>
      <c r="M12" t="n">
        <v>0</v>
      </c>
      <c r="N12" t="n">
        <v>0</v>
      </c>
      <c r="O12" t="n">
        <v>0</v>
      </c>
      <c r="P12" t="n">
        <v>0</v>
      </c>
      <c r="Q12" t="n">
        <v>1</v>
      </c>
      <c r="R12" t="n">
        <v>0</v>
      </c>
      <c r="S12" t="n">
        <v>1</v>
      </c>
      <c r="T12" t="n">
        <v>1</v>
      </c>
      <c r="U12" t="n">
        <v>1</v>
      </c>
      <c r="V12" s="2" t="inlineStr">
        <is>
          <t>Skogslysing</t>
        </is>
      </c>
      <c r="W12">
        <f>HYPERLINK("https://klasma.github.io/Logging_1270/artfynd/A 23466-2022 artfynd.xlsx", "A 23466-2022")</f>
        <v/>
      </c>
      <c r="X12">
        <f>HYPERLINK("https://klasma.github.io/Logging_1270/kartor/A 23466-2022 karta.png", "A 23466-2022")</f>
        <v/>
      </c>
      <c r="Y12">
        <f>HYPERLINK("https://klasma.github.io/Logging_1270/kartor_geotiff/A 23466-2022 georefererad karta.tif", "A 23466-2022")</f>
        <v/>
      </c>
      <c r="AA12">
        <f>HYPERLINK("https://klasma.github.io/Logging_1270/klagomål/A 23466-2022 FSC-klagomål.docx", "A 23466-2022")</f>
        <v/>
      </c>
      <c r="AB12">
        <f>HYPERLINK("https://klasma.github.io/Logging_1270/klagomålsmail/A 23466-2022 FSC-klagomål mail.docx", "A 23466-2022")</f>
        <v/>
      </c>
      <c r="AC12">
        <f>HYPERLINK("https://klasma.github.io/Logging_1270/tillsyn/A 23466-2022 tillsynsbegäran.docx", "A 23466-2022")</f>
        <v/>
      </c>
      <c r="AD12">
        <f>HYPERLINK("https://klasma.github.io/Logging_1270/tillsynsmail/A 23466-2022 tillsynsbegäran mail.docx", "A 23466-2022")</f>
        <v/>
      </c>
    </row>
    <row r="13" ht="15" customHeight="1">
      <c r="A13" t="inlineStr">
        <is>
          <t>A 42387-2022</t>
        </is>
      </c>
      <c r="B13" t="inlineStr">
        <is>
          <t>avverkningsanmälan</t>
        </is>
      </c>
      <c r="C13" t="inlineStr">
        <is>
          <t>Föryngringsavverkning</t>
        </is>
      </c>
      <c r="D13" s="1" t="n">
        <v>44830</v>
      </c>
      <c r="E13" s="1" t="n">
        <v>46322</v>
      </c>
      <c r="F13" t="inlineStr">
        <is>
          <t>SKÅNE LÄN</t>
        </is>
      </c>
      <c r="G13" t="inlineStr">
        <is>
          <t>TOMELILLA</t>
        </is>
      </c>
      <c r="I13" t="n">
        <v>1.1</v>
      </c>
      <c r="J13" t="n">
        <v>0</v>
      </c>
      <c r="K13" t="n">
        <v>0</v>
      </c>
      <c r="L13" t="n">
        <v>1</v>
      </c>
      <c r="M13" t="n">
        <v>0</v>
      </c>
      <c r="N13" t="n">
        <v>0</v>
      </c>
      <c r="O13" t="n">
        <v>0</v>
      </c>
      <c r="P13" t="n">
        <v>0</v>
      </c>
      <c r="Q13" t="n">
        <v>1</v>
      </c>
      <c r="R13" t="n">
        <v>0</v>
      </c>
      <c r="S13" t="n">
        <v>1</v>
      </c>
      <c r="T13" t="n">
        <v>1</v>
      </c>
      <c r="U13" t="n">
        <v>0</v>
      </c>
      <c r="V13" s="2" t="inlineStr">
        <is>
          <t>Gullpudra</t>
        </is>
      </c>
      <c r="W13">
        <f>HYPERLINK("https://klasma.github.io/Logging_1270/artfynd/A 42387-2022 artfynd.xlsx", "A 42387-2022")</f>
        <v/>
      </c>
      <c r="X13">
        <f>HYPERLINK("https://klasma.github.io/Logging_1270/kartor/A 42387-2022 karta.png", "A 42387-2022")</f>
        <v/>
      </c>
      <c r="Y13">
        <f>HYPERLINK("https://klasma.github.io/Logging_1270/kartor_geotiff/A 42387-2022 georefererad karta.tif", "A 42387-2022")</f>
        <v/>
      </c>
      <c r="AA13">
        <f>HYPERLINK("https://klasma.github.io/Logging_1270/klagomål/A 42387-2022 FSC-klagomål.docx", "A 42387-2022")</f>
        <v/>
      </c>
      <c r="AB13">
        <f>HYPERLINK("https://klasma.github.io/Logging_1270/klagomålsmail/A 42387-2022 FSC-klagomål mail.docx", "A 42387-2022")</f>
        <v/>
      </c>
      <c r="AC13">
        <f>HYPERLINK("https://klasma.github.io/Logging_1270/tillsyn/A 42387-2022 tillsynsbegäran.docx", "A 42387-2022")</f>
        <v/>
      </c>
      <c r="AD13">
        <f>HYPERLINK("https://klasma.github.io/Logging_1270/tillsynsmail/A 42387-2022 tillsynsbegäran mail.docx", "A 42387-2022")</f>
        <v/>
      </c>
    </row>
    <row r="14" ht="15" customHeight="1">
      <c r="A14" t="inlineStr">
        <is>
          <t>A 6261-2024</t>
        </is>
      </c>
      <c r="B14" t="inlineStr">
        <is>
          <t>avverkningsanmälan</t>
        </is>
      </c>
      <c r="C14" t="inlineStr">
        <is>
          <t>Föryngringsavverkning</t>
        </is>
      </c>
      <c r="D14" s="1" t="n">
        <v>45337</v>
      </c>
      <c r="E14" s="1" t="n">
        <v>46322</v>
      </c>
      <c r="F14" t="inlineStr">
        <is>
          <t>SKÅNE LÄN</t>
        </is>
      </c>
      <c r="G14" t="inlineStr">
        <is>
          <t>TOMELILLA</t>
        </is>
      </c>
      <c r="I14" t="n">
        <v>12.6</v>
      </c>
      <c r="J14" t="n">
        <v>0</v>
      </c>
      <c r="K14" t="n">
        <v>1</v>
      </c>
      <c r="L14" t="n">
        <v>0</v>
      </c>
      <c r="M14" t="n">
        <v>0</v>
      </c>
      <c r="N14" t="n">
        <v>0</v>
      </c>
      <c r="O14" t="n">
        <v>0</v>
      </c>
      <c r="P14" t="n">
        <v>0</v>
      </c>
      <c r="Q14" t="n">
        <v>0</v>
      </c>
      <c r="R14" t="n">
        <v>0</v>
      </c>
      <c r="S14" t="n">
        <v>1</v>
      </c>
      <c r="T14" t="n">
        <v>1</v>
      </c>
      <c r="U14" t="n">
        <v>1</v>
      </c>
      <c r="V14" s="2" t="inlineStr">
        <is>
          <t>Blodticka</t>
        </is>
      </c>
      <c r="W14">
        <f>HYPERLINK("https://klasma.github.io/Logging_1270/artfynd/A 6261-2024 artfynd.xlsx", "A 6261-2024")</f>
        <v/>
      </c>
      <c r="X14">
        <f>HYPERLINK("https://klasma.github.io/Logging_1270/kartor/A 6261-2024 karta.png", "A 6261-2024")</f>
        <v/>
      </c>
      <c r="Y14">
        <f>HYPERLINK("https://klasma.github.io/Logging_1270/kartor_geotiff/A 6261-2024 georefererad karta.tif", "A 6261-2024")</f>
        <v/>
      </c>
      <c r="AA14">
        <f>HYPERLINK("https://klasma.github.io/Logging_1270/klagomål/A 6261-2024 FSC-klagomål.docx", "A 6261-2024")</f>
        <v/>
      </c>
      <c r="AB14">
        <f>HYPERLINK("https://klasma.github.io/Logging_1270/klagomålsmail/A 6261-2024 FSC-klagomål mail.docx", "A 6261-2024")</f>
        <v/>
      </c>
      <c r="AC14">
        <f>HYPERLINK("https://klasma.github.io/Logging_1270/tillsyn/A 6261-2024 tillsynsbegäran.docx", "A 6261-2024")</f>
        <v/>
      </c>
      <c r="AD14">
        <f>HYPERLINK("https://klasma.github.io/Logging_1270/tillsynsmail/A 6261-2024 tillsynsbegäran mail.docx", "A 6261-2024")</f>
        <v/>
      </c>
    </row>
    <row r="15" ht="15" customHeight="1">
      <c r="A15" t="inlineStr">
        <is>
          <t>A 17907-2024</t>
        </is>
      </c>
      <c r="B15" t="inlineStr">
        <is>
          <t>avverkningsanmälan</t>
        </is>
      </c>
      <c r="C15" t="inlineStr">
        <is>
          <t>Föryngringsavverkning</t>
        </is>
      </c>
      <c r="D15" s="1" t="n">
        <v>45419</v>
      </c>
      <c r="E15" s="1" t="n">
        <v>46322</v>
      </c>
      <c r="F15" t="inlineStr">
        <is>
          <t>SKÅNE LÄN</t>
        </is>
      </c>
      <c r="G15" t="inlineStr">
        <is>
          <t>TOMELILLA</t>
        </is>
      </c>
      <c r="I15" t="n">
        <v>3.1</v>
      </c>
      <c r="J15" t="n">
        <v>0</v>
      </c>
      <c r="K15" t="n">
        <v>0</v>
      </c>
      <c r="L15" t="n">
        <v>0</v>
      </c>
      <c r="M15" t="n">
        <v>0</v>
      </c>
      <c r="N15" t="n">
        <v>0</v>
      </c>
      <c r="O15" t="n">
        <v>0</v>
      </c>
      <c r="P15" t="n">
        <v>0</v>
      </c>
      <c r="Q15" t="n">
        <v>0</v>
      </c>
      <c r="R15" t="n">
        <v>0</v>
      </c>
      <c r="S15" t="n">
        <v>1</v>
      </c>
      <c r="T15" t="n">
        <v>1</v>
      </c>
      <c r="U15" t="n">
        <v>1</v>
      </c>
      <c r="V15" s="2" t="inlineStr">
        <is>
          <t>Gulplister</t>
        </is>
      </c>
      <c r="W15">
        <f>HYPERLINK("https://klasma.github.io/Logging_1270/artfynd/A 17907-2024 artfynd.xlsx", "A 17907-2024")</f>
        <v/>
      </c>
      <c r="X15">
        <f>HYPERLINK("https://klasma.github.io/Logging_1270/kartor/A 17907-2024 karta.png", "A 17907-2024")</f>
        <v/>
      </c>
      <c r="Y15">
        <f>HYPERLINK("https://klasma.github.io/Logging_1270/kartor_geotiff/A 17907-2024 georefererad karta.tif", "A 17907-2024")</f>
        <v/>
      </c>
      <c r="AA15">
        <f>HYPERLINK("https://klasma.github.io/Logging_1270/klagomål/A 17907-2024 FSC-klagomål.docx", "A 17907-2024")</f>
        <v/>
      </c>
      <c r="AB15">
        <f>HYPERLINK("https://klasma.github.io/Logging_1270/klagomålsmail/A 17907-2024 FSC-klagomål mail.docx", "A 17907-2024")</f>
        <v/>
      </c>
      <c r="AC15">
        <f>HYPERLINK("https://klasma.github.io/Logging_1270/tillsyn/A 17907-2024 tillsynsbegäran.docx", "A 17907-2024")</f>
        <v/>
      </c>
      <c r="AD15">
        <f>HYPERLINK("https://klasma.github.io/Logging_1270/tillsynsmail/A 17907-2024 tillsynsbegäran mail.docx", "A 17907-2024")</f>
        <v/>
      </c>
    </row>
    <row r="16" ht="15" customHeight="1">
      <c r="A16" t="inlineStr">
        <is>
          <t>A 6261-2024</t>
        </is>
      </c>
      <c r="B16" t="inlineStr">
        <is>
          <t>avverkningsanmälan</t>
        </is>
      </c>
      <c r="C16" t="inlineStr">
        <is>
          <t>Föryngringsavverkning</t>
        </is>
      </c>
      <c r="D16" s="1" t="n">
        <v>45337</v>
      </c>
      <c r="E16" s="1" t="n">
        <v>46322</v>
      </c>
      <c r="F16" t="inlineStr">
        <is>
          <t>SKÅNE LÄN</t>
        </is>
      </c>
      <c r="G16" t="inlineStr">
        <is>
          <t>TOMELILLA</t>
        </is>
      </c>
      <c r="I16" t="n">
        <v>12.6</v>
      </c>
      <c r="J16" t="n">
        <v>0</v>
      </c>
      <c r="K16" t="n">
        <v>1</v>
      </c>
      <c r="L16" t="n">
        <v>0</v>
      </c>
      <c r="M16" t="n">
        <v>0</v>
      </c>
      <c r="N16" t="n">
        <v>0</v>
      </c>
      <c r="O16" t="n">
        <v>0</v>
      </c>
      <c r="P16" t="n">
        <v>0</v>
      </c>
      <c r="Q16" t="n">
        <v>0</v>
      </c>
      <c r="R16" t="n">
        <v>0</v>
      </c>
      <c r="S16" t="n">
        <v>1</v>
      </c>
      <c r="T16" t="n">
        <v>1</v>
      </c>
      <c r="U16" t="n">
        <v>1</v>
      </c>
      <c r="V16" s="2" t="inlineStr">
        <is>
          <t>Blodticka</t>
        </is>
      </c>
      <c r="W16">
        <f>HYPERLINK("https://klasma.github.io/Logging_1270/artfynd/A 6261-2024 artfynd.xlsx", "A 6261-2024")</f>
        <v/>
      </c>
      <c r="X16">
        <f>HYPERLINK("https://klasma.github.io/Logging_1270/kartor/A 6261-2024 karta.png", "A 6261-2024")</f>
        <v/>
      </c>
      <c r="Y16">
        <f>HYPERLINK("https://klasma.github.io/Logging_1270/kartor_geotiff/A 6261-2024 georefererad karta.tif", "A 6261-2024")</f>
        <v/>
      </c>
      <c r="AA16">
        <f>HYPERLINK("https://klasma.github.io/Logging_1270/klagomål/A 6261-2024 FSC-klagomål.docx", "A 6261-2024")</f>
        <v/>
      </c>
      <c r="AB16">
        <f>HYPERLINK("https://klasma.github.io/Logging_1270/klagomålsmail/A 6261-2024 FSC-klagomål mail.docx", "A 6261-2024")</f>
        <v/>
      </c>
      <c r="AC16">
        <f>HYPERLINK("https://klasma.github.io/Logging_1270/tillsyn/A 6261-2024 tillsynsbegäran.docx", "A 6261-2024")</f>
        <v/>
      </c>
      <c r="AD16">
        <f>HYPERLINK("https://klasma.github.io/Logging_1270/tillsynsmail/A 6261-2024 tillsynsbegäran mail.docx", "A 6261-2024")</f>
        <v/>
      </c>
    </row>
    <row r="17" ht="15" customHeight="1">
      <c r="A17" t="inlineStr">
        <is>
          <t>A 26958-2025</t>
        </is>
      </c>
      <c r="B17" t="inlineStr">
        <is>
          <t>avverkningsanmälan</t>
        </is>
      </c>
      <c r="C17" t="inlineStr">
        <is>
          <t>Föryngringsavverkning</t>
        </is>
      </c>
      <c r="D17" s="1" t="n">
        <v>45811</v>
      </c>
      <c r="E17" s="1" t="n">
        <v>46322</v>
      </c>
      <c r="F17" t="inlineStr">
        <is>
          <t>SKÅNE LÄN</t>
        </is>
      </c>
      <c r="G17" t="inlineStr">
        <is>
          <t>TOMELILLA</t>
        </is>
      </c>
      <c r="I17" t="n">
        <v>2.9</v>
      </c>
      <c r="J17" t="n">
        <v>0</v>
      </c>
      <c r="K17" t="n">
        <v>1</v>
      </c>
      <c r="L17" t="n">
        <v>0</v>
      </c>
      <c r="M17" t="n">
        <v>0</v>
      </c>
      <c r="N17" t="n">
        <v>0</v>
      </c>
      <c r="O17" t="n">
        <v>0</v>
      </c>
      <c r="P17" t="n">
        <v>0</v>
      </c>
      <c r="Q17" t="n">
        <v>0</v>
      </c>
      <c r="R17" t="n">
        <v>0</v>
      </c>
      <c r="S17" t="n">
        <v>1</v>
      </c>
      <c r="T17" t="n">
        <v>1</v>
      </c>
      <c r="U17" t="n">
        <v>0</v>
      </c>
      <c r="V17" s="2" t="inlineStr">
        <is>
          <t>Murgröna</t>
        </is>
      </c>
      <c r="W17">
        <f>HYPERLINK("https://klasma.github.io/Logging_1270/artfynd/A 26958-2025 artfynd.xlsx", "A 26958-2025")</f>
        <v/>
      </c>
      <c r="X17">
        <f>HYPERLINK("https://klasma.github.io/Logging_1270/kartor/A 26958-2025 karta.png", "A 26958-2025")</f>
        <v/>
      </c>
      <c r="Y17">
        <f>HYPERLINK("https://klasma.github.io/Logging_1270/kartor_geotiff/A 26958-2025 georefererad karta.tif", "A 26958-2025")</f>
        <v/>
      </c>
      <c r="AA17">
        <f>HYPERLINK("https://klasma.github.io/Logging_1270/klagomål/A 26958-2025 FSC-klagomål.docx", "A 26958-2025")</f>
        <v/>
      </c>
      <c r="AB17">
        <f>HYPERLINK("https://klasma.github.io/Logging_1270/klagomålsmail/A 26958-2025 FSC-klagomål mail.docx", "A 26958-2025")</f>
        <v/>
      </c>
      <c r="AC17">
        <f>HYPERLINK("https://klasma.github.io/Logging_1270/tillsyn/A 26958-2025 tillsynsbegäran.docx", "A 26958-2025")</f>
        <v/>
      </c>
      <c r="AD17">
        <f>HYPERLINK("https://klasma.github.io/Logging_1270/tillsynsmail/A 26958-2025 tillsynsbegäran mail.docx", "A 26958-2025")</f>
        <v/>
      </c>
    </row>
    <row r="18" ht="15" customHeight="1">
      <c r="A18" t="inlineStr">
        <is>
          <t>A 49813-2025</t>
        </is>
      </c>
      <c r="B18" t="inlineStr">
        <is>
          <t>avverkningsanmälan</t>
        </is>
      </c>
      <c r="C18" t="inlineStr">
        <is>
          <t>Föryngringsavverkning</t>
        </is>
      </c>
      <c r="D18" s="1" t="n">
        <v>45940</v>
      </c>
      <c r="E18" s="1" t="n">
        <v>46322</v>
      </c>
      <c r="F18" t="inlineStr">
        <is>
          <t>SKÅNE LÄN</t>
        </is>
      </c>
      <c r="G18" t="inlineStr">
        <is>
          <t>TOMELILLA</t>
        </is>
      </c>
      <c r="I18" t="n">
        <v>4.5</v>
      </c>
      <c r="J18" t="n">
        <v>1</v>
      </c>
      <c r="K18" t="n">
        <v>0</v>
      </c>
      <c r="L18" t="n">
        <v>0</v>
      </c>
      <c r="M18" t="n">
        <v>0</v>
      </c>
      <c r="N18" t="n">
        <v>0</v>
      </c>
      <c r="O18" t="n">
        <v>0</v>
      </c>
      <c r="P18" t="n">
        <v>0</v>
      </c>
      <c r="Q18" t="n">
        <v>0</v>
      </c>
      <c r="R18" t="n">
        <v>0</v>
      </c>
      <c r="S18" t="n">
        <v>1</v>
      </c>
      <c r="T18" t="n">
        <v>1</v>
      </c>
      <c r="U18" t="n">
        <v>0</v>
      </c>
      <c r="V18" s="2" t="inlineStr">
        <is>
          <t>Långbensgroda</t>
        </is>
      </c>
      <c r="W18">
        <f>HYPERLINK("https://klasma.github.io/Logging_1270/artfynd/A 49813-2025 artfynd.xlsx", "A 49813-2025")</f>
        <v/>
      </c>
      <c r="X18">
        <f>HYPERLINK("https://klasma.github.io/Logging_1270/kartor/A 49813-2025 karta.png", "A 49813-2025")</f>
        <v/>
      </c>
      <c r="Y18">
        <f>HYPERLINK("https://klasma.github.io/Logging_1270/kartor_geotiff/A 49813-2025 georefererad karta.tif", "A 49813-2025")</f>
        <v/>
      </c>
      <c r="AA18">
        <f>HYPERLINK("https://klasma.github.io/Logging_1270/klagomål/A 49813-2025 FSC-klagomål.docx", "A 49813-2025")</f>
        <v/>
      </c>
      <c r="AB18">
        <f>HYPERLINK("https://klasma.github.io/Logging_1270/klagomålsmail/A 49813-2025 FSC-klagomål mail.docx", "A 49813-2025")</f>
        <v/>
      </c>
      <c r="AC18">
        <f>HYPERLINK("https://klasma.github.io/Logging_1270/tillsyn/A 49813-2025 tillsynsbegäran.docx", "A 49813-2025")</f>
        <v/>
      </c>
      <c r="AD18">
        <f>HYPERLINK("https://klasma.github.io/Logging_1270/tillsynsmail/A 49813-2025 tillsynsbegäran mail.docx", "A 49813-2025")</f>
        <v/>
      </c>
    </row>
    <row r="19" ht="15" customHeight="1">
      <c r="A19" t="inlineStr">
        <is>
          <t>A 61314-2025</t>
        </is>
      </c>
      <c r="B19" t="inlineStr">
        <is>
          <t>avverkningsanmälan</t>
        </is>
      </c>
      <c r="C19" t="inlineStr">
        <is>
          <t>Föryngringsavverkning</t>
        </is>
      </c>
      <c r="D19" s="1" t="n">
        <v>46000</v>
      </c>
      <c r="E19" s="1" t="n">
        <v>46322</v>
      </c>
      <c r="F19" t="inlineStr">
        <is>
          <t>SKÅNE LÄN</t>
        </is>
      </c>
      <c r="G19" t="inlineStr">
        <is>
          <t>TOMELILLA</t>
        </is>
      </c>
      <c r="I19" t="n">
        <v>0.8</v>
      </c>
      <c r="J19" t="n">
        <v>1</v>
      </c>
      <c r="K19" t="n">
        <v>0</v>
      </c>
      <c r="L19" t="n">
        <v>0</v>
      </c>
      <c r="M19" t="n">
        <v>0</v>
      </c>
      <c r="N19" t="n">
        <v>0</v>
      </c>
      <c r="O19" t="n">
        <v>0</v>
      </c>
      <c r="P19" t="n">
        <v>0</v>
      </c>
      <c r="Q19" t="n">
        <v>0</v>
      </c>
      <c r="R19" t="n">
        <v>0</v>
      </c>
      <c r="S19" t="n">
        <v>1</v>
      </c>
      <c r="T19" t="n">
        <v>1</v>
      </c>
      <c r="U19" t="n">
        <v>0</v>
      </c>
      <c r="V19" s="2" t="inlineStr">
        <is>
          <t>Hasselmus</t>
        </is>
      </c>
      <c r="W19">
        <f>HYPERLINK("https://klasma.github.io/Logging_1270/artfynd/A 61314-2025 artfynd.xlsx", "A 61314-2025")</f>
        <v/>
      </c>
      <c r="X19">
        <f>HYPERLINK("https://klasma.github.io/Logging_1270/kartor/A 61314-2025 karta.png", "A 61314-2025")</f>
        <v/>
      </c>
      <c r="Y19">
        <f>HYPERLINK("https://klasma.github.io/Logging_1270/kartor_geotiff/A 61314-2025 georefererad karta.tif", "A 61314-2025")</f>
        <v/>
      </c>
      <c r="AA19">
        <f>HYPERLINK("https://klasma.github.io/Logging_1270/klagomål/A 61314-2025 FSC-klagomål.docx", "A 61314-2025")</f>
        <v/>
      </c>
      <c r="AB19">
        <f>HYPERLINK("https://klasma.github.io/Logging_1270/klagomålsmail/A 61314-2025 FSC-klagomål mail.docx", "A 61314-2025")</f>
        <v/>
      </c>
      <c r="AC19">
        <f>HYPERLINK("https://klasma.github.io/Logging_1270/tillsyn/A 61314-2025 tillsynsbegäran.docx", "A 61314-2025")</f>
        <v/>
      </c>
      <c r="AD19">
        <f>HYPERLINK("https://klasma.github.io/Logging_1270/tillsynsmail/A 61314-2025 tillsynsbegäran mail.docx", "A 61314-2025")</f>
        <v/>
      </c>
    </row>
    <row r="20" ht="15" customHeight="1">
      <c r="A20" t="inlineStr">
        <is>
          <t>A 20397-2026</t>
        </is>
      </c>
      <c r="B20" t="inlineStr">
        <is>
          <t>avverkningsanmälan</t>
        </is>
      </c>
      <c r="C20" t="inlineStr">
        <is>
          <t>Föryngringsavverkning</t>
        </is>
      </c>
      <c r="D20" s="1" t="n">
        <v>46139</v>
      </c>
      <c r="E20" s="1" t="n">
        <v>46322</v>
      </c>
      <c r="F20" t="inlineStr">
        <is>
          <t>SKÅNE LÄN</t>
        </is>
      </c>
      <c r="G20" t="inlineStr">
        <is>
          <t>TOMELILLA</t>
        </is>
      </c>
      <c r="I20" t="n">
        <v>4.2</v>
      </c>
      <c r="J20" t="n">
        <v>1</v>
      </c>
      <c r="K20" t="n">
        <v>0</v>
      </c>
      <c r="L20" t="n">
        <v>0</v>
      </c>
      <c r="M20" t="n">
        <v>0</v>
      </c>
      <c r="N20" t="n">
        <v>0</v>
      </c>
      <c r="O20" t="n">
        <v>0</v>
      </c>
      <c r="P20" t="n">
        <v>0</v>
      </c>
      <c r="Q20" t="n">
        <v>0</v>
      </c>
      <c r="R20" t="n">
        <v>0</v>
      </c>
      <c r="S20" t="n">
        <v>1</v>
      </c>
      <c r="T20" t="n">
        <v>1</v>
      </c>
      <c r="U20" t="n">
        <v>0</v>
      </c>
      <c r="V20" s="2" t="inlineStr">
        <is>
          <t>Långbensgroda</t>
        </is>
      </c>
      <c r="W20">
        <f>HYPERLINK("https://klasma.github.io/Logging_1270/artfynd/A 20397-2026 artfynd.xlsx", "A 20397-2026")</f>
        <v/>
      </c>
      <c r="X20">
        <f>HYPERLINK("https://klasma.github.io/Logging_1270/kartor/A 20397-2026 karta.png", "A 20397-2026")</f>
        <v/>
      </c>
      <c r="Y20">
        <f>HYPERLINK("https://klasma.github.io/Logging_1270/kartor_geotiff/A 20397-2026 georefererad karta.tif", "A 20397-2026")</f>
        <v/>
      </c>
      <c r="AA20">
        <f>HYPERLINK("https://klasma.github.io/Logging_1270/klagomål/A 20397-2026 FSC-klagomål.docx", "A 20397-2026")</f>
        <v/>
      </c>
      <c r="AB20">
        <f>HYPERLINK("https://klasma.github.io/Logging_1270/klagomålsmail/A 20397-2026 FSC-klagomål mail.docx", "A 20397-2026")</f>
        <v/>
      </c>
      <c r="AC20">
        <f>HYPERLINK("https://klasma.github.io/Logging_1270/tillsyn/A 20397-2026 tillsynsbegäran.docx", "A 20397-2026")</f>
        <v/>
      </c>
      <c r="AD20">
        <f>HYPERLINK("https://klasma.github.io/Logging_1270/tillsynsmail/A 20397-2026 tillsynsbegäran mail.docx", "A 20397-2026")</f>
        <v/>
      </c>
    </row>
    <row r="21" ht="15" customHeight="1">
      <c r="A21" t="inlineStr">
        <is>
          <t>A 2193-2022</t>
        </is>
      </c>
      <c r="B21" t="inlineStr">
        <is>
          <t>avverkningsanmälan</t>
        </is>
      </c>
      <c r="C21" t="inlineStr">
        <is>
          <t>Föryngringsavverkning</t>
        </is>
      </c>
      <c r="D21" s="1" t="n">
        <v>44578</v>
      </c>
      <c r="E21" s="1" t="n">
        <v>46322</v>
      </c>
      <c r="F21" t="inlineStr">
        <is>
          <t>SKÅNE LÄN</t>
        </is>
      </c>
      <c r="G21" t="inlineStr">
        <is>
          <t>TOMELILLA</t>
        </is>
      </c>
      <c r="H21" t="inlineStr">
        <is>
          <t>Sveaskog</t>
        </is>
      </c>
      <c r="I21" t="n">
        <v>0.5</v>
      </c>
      <c r="J21" t="n">
        <v>0</v>
      </c>
      <c r="K21" t="n">
        <v>0</v>
      </c>
      <c r="L21" t="n">
        <v>1</v>
      </c>
      <c r="M21" t="n">
        <v>0</v>
      </c>
      <c r="N21" t="n">
        <v>0</v>
      </c>
      <c r="O21" t="n">
        <v>0</v>
      </c>
      <c r="P21" t="n">
        <v>0</v>
      </c>
      <c r="Q21" t="n">
        <v>1</v>
      </c>
      <c r="R21" t="n">
        <v>0</v>
      </c>
      <c r="S21" t="n">
        <v>1</v>
      </c>
      <c r="T21" t="n">
        <v>1</v>
      </c>
      <c r="U21" t="n">
        <v>1</v>
      </c>
      <c r="V21" s="2" t="inlineStr">
        <is>
          <t>Skogslysing</t>
        </is>
      </c>
      <c r="W21">
        <f>HYPERLINK("https://klasma.github.io/Logging_1270/artfynd/A 2193-2022 artfynd.xlsx", "A 2193-2022")</f>
        <v/>
      </c>
      <c r="X21">
        <f>HYPERLINK("https://klasma.github.io/Logging_1270/kartor/A 2193-2022 karta.png", "A 2193-2022")</f>
        <v/>
      </c>
      <c r="Y21">
        <f>HYPERLINK("https://klasma.github.io/Logging_1270/kartor_geotiff/A 2193-2022 georefererad karta.tif", "A 2193-2022")</f>
        <v/>
      </c>
      <c r="AA21">
        <f>HYPERLINK("https://klasma.github.io/Logging_1270/klagomål/A 2193-2022 FSC-klagomål.docx", "A 2193-2022")</f>
        <v/>
      </c>
      <c r="AB21">
        <f>HYPERLINK("https://klasma.github.io/Logging_1270/klagomålsmail/A 2193-2022 FSC-klagomål mail.docx", "A 2193-2022")</f>
        <v/>
      </c>
      <c r="AC21">
        <f>HYPERLINK("https://klasma.github.io/Logging_1270/tillsyn/A 2193-2022 tillsynsbegäran.docx", "A 2193-2022")</f>
        <v/>
      </c>
      <c r="AD21">
        <f>HYPERLINK("https://klasma.github.io/Logging_1270/tillsynsmail/A 2193-2022 tillsynsbegäran mail.docx", "A 2193-2022")</f>
        <v/>
      </c>
    </row>
    <row r="22" ht="15" customHeight="1">
      <c r="A22" t="inlineStr">
        <is>
          <t>A 6262-2024</t>
        </is>
      </c>
      <c r="B22" t="inlineStr">
        <is>
          <t>avverkningsanmälan</t>
        </is>
      </c>
      <c r="C22" t="inlineStr">
        <is>
          <t>Föryngringsavverkning</t>
        </is>
      </c>
      <c r="D22" s="1" t="n">
        <v>45337</v>
      </c>
      <c r="E22" s="1" t="n">
        <v>46322</v>
      </c>
      <c r="F22" t="inlineStr">
        <is>
          <t>SKÅNE LÄN</t>
        </is>
      </c>
      <c r="G22" t="inlineStr">
        <is>
          <t>TOMELILLA</t>
        </is>
      </c>
      <c r="I22" t="n">
        <v>4.5</v>
      </c>
      <c r="J22" t="n">
        <v>1</v>
      </c>
      <c r="K22" t="n">
        <v>0</v>
      </c>
      <c r="L22" t="n">
        <v>0</v>
      </c>
      <c r="M22" t="n">
        <v>0</v>
      </c>
      <c r="N22" t="n">
        <v>0</v>
      </c>
      <c r="O22" t="n">
        <v>0</v>
      </c>
      <c r="P22" t="n">
        <v>0</v>
      </c>
      <c r="Q22" t="n">
        <v>0</v>
      </c>
      <c r="R22" t="n">
        <v>0</v>
      </c>
      <c r="S22" t="n">
        <v>1</v>
      </c>
      <c r="T22" t="n">
        <v>1</v>
      </c>
      <c r="U22" t="n">
        <v>1</v>
      </c>
      <c r="V22" s="2" t="inlineStr">
        <is>
          <t>Kungsfågel</t>
        </is>
      </c>
      <c r="W22">
        <f>HYPERLINK("https://klasma.github.io/Logging_1270/artfynd/A 6262-2024 artfynd.xlsx", "A 6262-2024")</f>
        <v/>
      </c>
      <c r="X22">
        <f>HYPERLINK("https://klasma.github.io/Logging_1270/kartor/A 6262-2024 karta.png", "A 6262-2024")</f>
        <v/>
      </c>
      <c r="Y22">
        <f>HYPERLINK("https://klasma.github.io/Logging_1270/kartor_geotiff/A 6262-2024 georefererad karta.tif", "A 6262-2024")</f>
        <v/>
      </c>
      <c r="AA22">
        <f>HYPERLINK("https://klasma.github.io/Logging_1270/klagomål/A 6262-2024 FSC-klagomål.docx", "A 6262-2024")</f>
        <v/>
      </c>
      <c r="AB22">
        <f>HYPERLINK("https://klasma.github.io/Logging_1270/klagomålsmail/A 6262-2024 FSC-klagomål mail.docx", "A 6262-2024")</f>
        <v/>
      </c>
      <c r="AC22">
        <f>HYPERLINK("https://klasma.github.io/Logging_1270/tillsyn/A 6262-2024 tillsynsbegäran.docx", "A 6262-2024")</f>
        <v/>
      </c>
      <c r="AD22">
        <f>HYPERLINK("https://klasma.github.io/Logging_1270/tillsynsmail/A 6262-2024 tillsynsbegäran mail.docx", "A 6262-2024")</f>
        <v/>
      </c>
    </row>
    <row r="23" ht="15" customHeight="1">
      <c r="A23" t="inlineStr">
        <is>
          <t>A 32949-2026</t>
        </is>
      </c>
      <c r="B23" t="inlineStr">
        <is>
          <t>avverkningsanmälan</t>
        </is>
      </c>
      <c r="C23" t="inlineStr">
        <is>
          <t>Föryngringsavverkning</t>
        </is>
      </c>
      <c r="D23" s="1" t="n">
        <v>46244</v>
      </c>
      <c r="E23" s="1" t="n">
        <v>46322</v>
      </c>
      <c r="F23" t="inlineStr">
        <is>
          <t>SKÅNE LÄN</t>
        </is>
      </c>
      <c r="G23" t="inlineStr">
        <is>
          <t>TOMELILLA</t>
        </is>
      </c>
      <c r="I23" t="n">
        <v>4.8</v>
      </c>
      <c r="J23" t="n">
        <v>1</v>
      </c>
      <c r="K23" t="n">
        <v>0</v>
      </c>
      <c r="L23" t="n">
        <v>0</v>
      </c>
      <c r="M23" t="n">
        <v>0</v>
      </c>
      <c r="N23" t="n">
        <v>0</v>
      </c>
      <c r="O23" t="n">
        <v>0</v>
      </c>
      <c r="P23" t="n">
        <v>0</v>
      </c>
      <c r="Q23" t="n">
        <v>0</v>
      </c>
      <c r="R23" t="n">
        <v>0</v>
      </c>
      <c r="S23" t="n">
        <v>1</v>
      </c>
      <c r="T23" t="n">
        <v>1</v>
      </c>
      <c r="U23" t="n">
        <v>0</v>
      </c>
      <c r="V23" s="2" t="inlineStr">
        <is>
          <t>Trana</t>
        </is>
      </c>
      <c r="W23">
        <f>HYPERLINK("https://klasma.github.io/Logging_1270/artfynd/A 32949-2026 artfynd.xlsx", "A 32949-2026")</f>
        <v/>
      </c>
      <c r="X23">
        <f>HYPERLINK("https://klasma.github.io/Logging_1270/kartor/A 32949-2026 karta.png", "A 32949-2026")</f>
        <v/>
      </c>
      <c r="Y23">
        <f>HYPERLINK("https://klasma.github.io/Logging_1270/kartor_geotiff/A 32949-2026 georefererad karta.tif", "A 32949-2026")</f>
        <v/>
      </c>
      <c r="AA23">
        <f>HYPERLINK("https://klasma.github.io/Logging_1270/klagomål/A 32949-2026 FSC-klagomål.docx", "A 32949-2026")</f>
        <v/>
      </c>
      <c r="AB23">
        <f>HYPERLINK("https://klasma.github.io/Logging_1270/klagomålsmail/A 32949-2026 FSC-klagomål mail.docx", "A 32949-2026")</f>
        <v/>
      </c>
      <c r="AC23">
        <f>HYPERLINK("https://klasma.github.io/Logging_1270/tillsyn/A 32949-2026 tillsynsbegäran.docx", "A 32949-2026")</f>
        <v/>
      </c>
      <c r="AD23">
        <f>HYPERLINK("https://klasma.github.io/Logging_1270/tillsynsmail/A 32949-2026 tillsynsbegäran mail.docx", "A 32949-2026")</f>
        <v/>
      </c>
      <c r="AE23">
        <f>HYPERLINK("https://klasma.github.io/Logging_1270/fåglar/A 32949-2026 prioriterade fågelarter.docx", "A 32949-2026")</f>
        <v/>
      </c>
    </row>
    <row r="24" ht="15" customHeight="1">
      <c r="A24" t="inlineStr">
        <is>
          <t>A 60820-2023</t>
        </is>
      </c>
      <c r="B24" t="inlineStr">
        <is>
          <t>avverkningsanmälan</t>
        </is>
      </c>
      <c r="C24" t="inlineStr">
        <is>
          <t>Föryngringsavverkning</t>
        </is>
      </c>
      <c r="D24" s="1" t="n">
        <v>45260</v>
      </c>
      <c r="E24" s="1" t="n">
        <v>46322</v>
      </c>
      <c r="F24" t="inlineStr">
        <is>
          <t>SKÅNE LÄN</t>
        </is>
      </c>
      <c r="G24" t="inlineStr">
        <is>
          <t>TOMELILLA</t>
        </is>
      </c>
      <c r="I24" t="n">
        <v>4.6</v>
      </c>
      <c r="J24" t="n">
        <v>0</v>
      </c>
      <c r="K24" t="n">
        <v>1</v>
      </c>
      <c r="L24" t="n">
        <v>0</v>
      </c>
      <c r="M24" t="n">
        <v>0</v>
      </c>
      <c r="N24" t="n">
        <v>0</v>
      </c>
      <c r="O24" t="n">
        <v>0</v>
      </c>
      <c r="P24" t="n">
        <v>0</v>
      </c>
      <c r="Q24" t="n">
        <v>0</v>
      </c>
      <c r="R24" t="n">
        <v>0</v>
      </c>
      <c r="S24" t="n">
        <v>1</v>
      </c>
      <c r="T24" t="n">
        <v>1</v>
      </c>
      <c r="U24" t="n">
        <v>0</v>
      </c>
      <c r="V24" s="2" t="inlineStr">
        <is>
          <t>Guldlockmossa</t>
        </is>
      </c>
      <c r="W24">
        <f>HYPERLINK("https://klasma.github.io/Logging_1270/artfynd/A 60820-2023 artfynd.xlsx", "A 60820-2023")</f>
        <v/>
      </c>
      <c r="X24">
        <f>HYPERLINK("https://klasma.github.io/Logging_1270/kartor/A 60820-2023 karta.png", "A 60820-2023")</f>
        <v/>
      </c>
      <c r="Y24">
        <f>HYPERLINK("https://klasma.github.io/Logging_1270/kartor_geotiff/A 60820-2023 georefererad karta.tif", "A 60820-2023")</f>
        <v/>
      </c>
      <c r="AA24">
        <f>HYPERLINK("https://klasma.github.io/Logging_1270/klagomål/A 60820-2023 FSC-klagomål.docx", "A 60820-2023")</f>
        <v/>
      </c>
      <c r="AB24">
        <f>HYPERLINK("https://klasma.github.io/Logging_1270/klagomålsmail/A 60820-2023 FSC-klagomål mail.docx", "A 60820-2023")</f>
        <v/>
      </c>
      <c r="AC24">
        <f>HYPERLINK("https://klasma.github.io/Logging_1270/tillsyn/A 60820-2023 tillsynsbegäran.docx", "A 60820-2023")</f>
        <v/>
      </c>
      <c r="AD24">
        <f>HYPERLINK("https://klasma.github.io/Logging_1270/tillsynsmail/A 60820-2023 tillsynsbegäran mail.docx", "A 60820-2023")</f>
        <v/>
      </c>
    </row>
    <row r="25" ht="15" customHeight="1">
      <c r="A25" t="inlineStr">
        <is>
          <t>A 28862-2023</t>
        </is>
      </c>
      <c r="B25" t="inlineStr">
        <is>
          <t>avverkningsanmälan</t>
        </is>
      </c>
      <c r="C25" t="inlineStr">
        <is>
          <t>Föryngringsavverkning</t>
        </is>
      </c>
      <c r="D25" s="1" t="n">
        <v>45104</v>
      </c>
      <c r="E25" s="1" t="n">
        <v>46322</v>
      </c>
      <c r="F25" t="inlineStr">
        <is>
          <t>SKÅNE LÄN</t>
        </is>
      </c>
      <c r="G25" t="inlineStr">
        <is>
          <t>TOMELILLA</t>
        </is>
      </c>
      <c r="H25" t="inlineStr">
        <is>
          <t>Övriga Aktiebolag</t>
        </is>
      </c>
      <c r="I25" t="n">
        <v>6.6</v>
      </c>
      <c r="J25" t="n">
        <v>1</v>
      </c>
      <c r="K25" t="n">
        <v>0</v>
      </c>
      <c r="L25" t="n">
        <v>0</v>
      </c>
      <c r="M25" t="n">
        <v>0</v>
      </c>
      <c r="N25" t="n">
        <v>0</v>
      </c>
      <c r="O25" t="n">
        <v>0</v>
      </c>
      <c r="P25" t="n">
        <v>0</v>
      </c>
      <c r="Q25" t="n">
        <v>0</v>
      </c>
      <c r="R25" t="n">
        <v>0</v>
      </c>
      <c r="S25" t="n">
        <v>1</v>
      </c>
      <c r="T25" t="n">
        <v>1</v>
      </c>
      <c r="U25" t="n">
        <v>0</v>
      </c>
      <c r="V25" s="2" t="inlineStr">
        <is>
          <t>Långbensgroda</t>
        </is>
      </c>
      <c r="W25">
        <f>HYPERLINK("https://klasma.github.io/Logging_1270/artfynd/A 28862-2023 artfynd.xlsx", "A 28862-2023")</f>
        <v/>
      </c>
      <c r="X25">
        <f>HYPERLINK("https://klasma.github.io/Logging_1270/kartor/A 28862-2023 karta.png", "A 28862-2023")</f>
        <v/>
      </c>
      <c r="Y25">
        <f>HYPERLINK("https://klasma.github.io/Logging_1270/kartor_geotiff/A 28862-2023 georefererad karta.tif", "A 28862-2023")</f>
        <v/>
      </c>
      <c r="AA25">
        <f>HYPERLINK("https://klasma.github.io/Logging_1270/klagomål/A 28862-2023 FSC-klagomål.docx", "A 28862-2023")</f>
        <v/>
      </c>
      <c r="AB25">
        <f>HYPERLINK("https://klasma.github.io/Logging_1270/klagomålsmail/A 28862-2023 FSC-klagomål mail.docx", "A 28862-2023")</f>
        <v/>
      </c>
      <c r="AC25">
        <f>HYPERLINK("https://klasma.github.io/Logging_1270/tillsyn/A 28862-2023 tillsynsbegäran.docx", "A 28862-2023")</f>
        <v/>
      </c>
      <c r="AD25">
        <f>HYPERLINK("https://klasma.github.io/Logging_1270/tillsynsmail/A 28862-2023 tillsynsbegäran mail.docx", "A 28862-2023")</f>
        <v/>
      </c>
    </row>
    <row r="26" ht="15" customHeight="1">
      <c r="A26" t="inlineStr">
        <is>
          <t>A 26823-2026</t>
        </is>
      </c>
      <c r="B26" t="inlineStr">
        <is>
          <t>avverkningsanmälan</t>
        </is>
      </c>
      <c r="C26" t="inlineStr">
        <is>
          <t>Föryngringsavverkning</t>
        </is>
      </c>
      <c r="D26" s="1" t="n">
        <v>46183</v>
      </c>
      <c r="E26" s="1" t="n">
        <v>46322</v>
      </c>
      <c r="F26" t="inlineStr">
        <is>
          <t>SKÅNE LÄN</t>
        </is>
      </c>
      <c r="G26" t="inlineStr">
        <is>
          <t>TOMELILLA</t>
        </is>
      </c>
      <c r="I26" t="n">
        <v>12.1</v>
      </c>
      <c r="J26" t="n">
        <v>0</v>
      </c>
      <c r="K26" t="n">
        <v>0</v>
      </c>
      <c r="L26" t="n">
        <v>1</v>
      </c>
      <c r="M26" t="n">
        <v>0</v>
      </c>
      <c r="N26" t="n">
        <v>0</v>
      </c>
      <c r="O26" t="n">
        <v>0</v>
      </c>
      <c r="P26" t="n">
        <v>0</v>
      </c>
      <c r="Q26" t="n">
        <v>1</v>
      </c>
      <c r="R26" t="n">
        <v>0</v>
      </c>
      <c r="S26" t="n">
        <v>1</v>
      </c>
      <c r="T26" t="n">
        <v>1</v>
      </c>
      <c r="U26" t="n">
        <v>0</v>
      </c>
      <c r="V26" s="2" t="inlineStr">
        <is>
          <t>Bokkantlav</t>
        </is>
      </c>
      <c r="W26">
        <f>HYPERLINK("https://klasma.github.io/Logging_1270/artfynd/A 26823-2026 artfynd.xlsx", "A 26823-2026")</f>
        <v/>
      </c>
      <c r="X26">
        <f>HYPERLINK("https://klasma.github.io/Logging_1270/kartor/A 26823-2026 karta.png", "A 26823-2026")</f>
        <v/>
      </c>
      <c r="Y26">
        <f>HYPERLINK("https://klasma.github.io/Logging_1270/kartor_geotiff/A 26823-2026 georefererad karta.tif", "A 26823-2026")</f>
        <v/>
      </c>
      <c r="AA26">
        <f>HYPERLINK("https://klasma.github.io/Logging_1270/klagomål/A 26823-2026 FSC-klagomål.docx", "A 26823-2026")</f>
        <v/>
      </c>
      <c r="AB26">
        <f>HYPERLINK("https://klasma.github.io/Logging_1270/klagomålsmail/A 26823-2026 FSC-klagomål mail.docx", "A 26823-2026")</f>
        <v/>
      </c>
      <c r="AC26">
        <f>HYPERLINK("https://klasma.github.io/Logging_1270/tillsyn/A 26823-2026 tillsynsbegäran.docx", "A 26823-2026")</f>
        <v/>
      </c>
      <c r="AD26">
        <f>HYPERLINK("https://klasma.github.io/Logging_1270/tillsynsmail/A 26823-2026 tillsynsbegäran mail.docx", "A 26823-2026")</f>
        <v/>
      </c>
    </row>
    <row r="27" ht="15" customHeight="1">
      <c r="A27" t="inlineStr">
        <is>
          <t>A 756-2024</t>
        </is>
      </c>
      <c r="B27" t="inlineStr">
        <is>
          <t>avverkningsanmälan</t>
        </is>
      </c>
      <c r="C27" t="inlineStr">
        <is>
          <t>Föryngringsavverkning</t>
        </is>
      </c>
      <c r="D27" s="1" t="n">
        <v>45300</v>
      </c>
      <c r="E27" s="1" t="n">
        <v>46322</v>
      </c>
      <c r="F27" t="inlineStr">
        <is>
          <t>SKÅNE LÄN</t>
        </is>
      </c>
      <c r="G27" t="inlineStr">
        <is>
          <t>TOMELILLA</t>
        </is>
      </c>
      <c r="H27" t="inlineStr">
        <is>
          <t>Övriga Aktiebolag</t>
        </is>
      </c>
      <c r="I27" t="n">
        <v>13.1</v>
      </c>
      <c r="J27" t="n">
        <v>0</v>
      </c>
      <c r="K27" t="n">
        <v>0</v>
      </c>
      <c r="L27" t="n">
        <v>1</v>
      </c>
      <c r="M27" t="n">
        <v>0</v>
      </c>
      <c r="N27" t="n">
        <v>0</v>
      </c>
      <c r="O27" t="n">
        <v>0</v>
      </c>
      <c r="P27" t="n">
        <v>0</v>
      </c>
      <c r="Q27" t="n">
        <v>1</v>
      </c>
      <c r="R27" t="n">
        <v>0</v>
      </c>
      <c r="S27" t="n">
        <v>1</v>
      </c>
      <c r="T27" t="n">
        <v>1</v>
      </c>
      <c r="U27" t="n">
        <v>0</v>
      </c>
      <c r="V27" s="2" t="inlineStr">
        <is>
          <t>Borsttåg</t>
        </is>
      </c>
      <c r="W27">
        <f>HYPERLINK("https://klasma.github.io/Logging_1270/artfynd/A 756-2024 artfynd.xlsx", "A 756-2024")</f>
        <v/>
      </c>
      <c r="X27">
        <f>HYPERLINK("https://klasma.github.io/Logging_1270/kartor/A 756-2024 karta.png", "A 756-2024")</f>
        <v/>
      </c>
      <c r="Y27">
        <f>HYPERLINK("https://klasma.github.io/Logging_1270/kartor_geotiff/A 756-2024 georefererad karta.tif", "A 756-2024")</f>
        <v/>
      </c>
      <c r="AA27">
        <f>HYPERLINK("https://klasma.github.io/Logging_1270/klagomål/A 756-2024 FSC-klagomål.docx", "A 756-2024")</f>
        <v/>
      </c>
      <c r="AB27">
        <f>HYPERLINK("https://klasma.github.io/Logging_1270/klagomålsmail/A 756-2024 FSC-klagomål mail.docx", "A 756-2024")</f>
        <v/>
      </c>
      <c r="AC27">
        <f>HYPERLINK("https://klasma.github.io/Logging_1270/tillsyn/A 756-2024 tillsynsbegäran.docx", "A 756-2024")</f>
        <v/>
      </c>
      <c r="AD27">
        <f>HYPERLINK("https://klasma.github.io/Logging_1270/tillsynsmail/A 756-2024 tillsynsbegäran mail.docx", "A 756-2024")</f>
        <v/>
      </c>
    </row>
    <row r="28" ht="15" customHeight="1">
      <c r="A28" t="inlineStr">
        <is>
          <t>S 2622-2026</t>
        </is>
      </c>
      <c r="B28" t="inlineStr">
        <is>
          <t>samrådsanmälan</t>
        </is>
      </c>
      <c r="C28" t="inlineStr">
        <is>
          <t>Annan skogsbruksåtgärd</t>
        </is>
      </c>
      <c r="D28" s="1" t="n">
        <v>46302</v>
      </c>
      <c r="E28" s="1" t="n">
        <v>46322</v>
      </c>
      <c r="F28" t="inlineStr">
        <is>
          <t>SKÅNE LÄN</t>
        </is>
      </c>
      <c r="G28" t="inlineStr">
        <is>
          <t>TOMELILLA</t>
        </is>
      </c>
      <c r="I28" t="n">
        <v>15</v>
      </c>
      <c r="J28" t="n">
        <v>1</v>
      </c>
      <c r="K28" t="n">
        <v>0</v>
      </c>
      <c r="L28" t="n">
        <v>0</v>
      </c>
      <c r="M28" t="n">
        <v>1</v>
      </c>
      <c r="N28" t="n">
        <v>0</v>
      </c>
      <c r="O28" t="n">
        <v>0</v>
      </c>
      <c r="P28" t="n">
        <v>0</v>
      </c>
      <c r="Q28" t="n">
        <v>1</v>
      </c>
      <c r="R28" t="n">
        <v>1</v>
      </c>
      <c r="S28" t="n">
        <v>1</v>
      </c>
      <c r="T28" t="n">
        <v>1</v>
      </c>
      <c r="U28" t="n">
        <v>0</v>
      </c>
      <c r="V28" s="2" t="inlineStr">
        <is>
          <t>Hedblomster</t>
        </is>
      </c>
      <c r="W28">
        <f>HYPERLINK("https://klasma.github.io/Logging_1270/artfynd/S 2622-2026 artfynd.xlsx", "S 2622-2026")</f>
        <v/>
      </c>
      <c r="X28">
        <f>HYPERLINK("https://klasma.github.io/Logging_1270/kartor/S 2622-2026 karta.png", "S 2622-2026")</f>
        <v/>
      </c>
      <c r="Y28">
        <f>HYPERLINK("https://klasma.github.io/Logging_1270/kartor_geotiff/S 2622-2026 georefererad karta.tif", "S 2622-2026")</f>
        <v/>
      </c>
      <c r="AA28">
        <f>HYPERLINK("https://klasma.github.io/Logging_1270/klagomål/S 2622-2026 FSC-klagomål.docx", "S 2622-2026")</f>
        <v/>
      </c>
      <c r="AB28">
        <f>HYPERLINK("https://klasma.github.io/Logging_1270/klagomålsmail/S 2622-2026 FSC-klagomål mail.docx", "S 2622-2026")</f>
        <v/>
      </c>
      <c r="AC28">
        <f>HYPERLINK("https://klasma.github.io/Logging_1270/tillsyn/S 2622-2026 tillsynsbegäran.docx", "S 2622-2026")</f>
        <v/>
      </c>
      <c r="AD28">
        <f>HYPERLINK("https://klasma.github.io/Logging_1270/tillsynsmail/S 2622-2026 tillsynsbegäran mail.docx", "S 2622-2026")</f>
        <v/>
      </c>
    </row>
    <row r="29" ht="15" customHeight="1">
      <c r="A29" t="inlineStr">
        <is>
          <t>A 18158-2022</t>
        </is>
      </c>
      <c r="B29" t="inlineStr">
        <is>
          <t>avverkningsanmälan</t>
        </is>
      </c>
      <c r="C29" t="inlineStr">
        <is>
          <t>Föryngringsavverkning</t>
        </is>
      </c>
      <c r="D29" s="1" t="n">
        <v>44684</v>
      </c>
      <c r="E29" s="1" t="n">
        <v>46322</v>
      </c>
      <c r="F29" t="inlineStr">
        <is>
          <t>SKÅNE LÄN</t>
        </is>
      </c>
      <c r="G29" t="inlineStr">
        <is>
          <t>TOMELILLA</t>
        </is>
      </c>
      <c r="I29" t="n">
        <v>1.6</v>
      </c>
      <c r="J29" t="n">
        <v>0</v>
      </c>
      <c r="K29" t="n">
        <v>0</v>
      </c>
      <c r="L29" t="n">
        <v>0</v>
      </c>
      <c r="M29" t="n">
        <v>0</v>
      </c>
      <c r="N29" t="n">
        <v>0</v>
      </c>
      <c r="O29" t="n">
        <v>0</v>
      </c>
      <c r="P29" t="n">
        <v>0</v>
      </c>
      <c r="Q29" t="n">
        <v>0</v>
      </c>
      <c r="R29" t="n">
        <v>0</v>
      </c>
      <c r="S29" t="n">
        <v>0</v>
      </c>
      <c r="T29" t="n">
        <v>0</v>
      </c>
      <c r="U29" t="n">
        <v>0</v>
      </c>
      <c r="V29" s="2" t="inlineStr"/>
    </row>
    <row r="30" ht="15" customHeight="1">
      <c r="A30" t="inlineStr">
        <is>
          <t>A 74408-2021</t>
        </is>
      </c>
      <c r="B30" t="inlineStr">
        <is>
          <t>avverkningsanmälan</t>
        </is>
      </c>
      <c r="C30" t="inlineStr">
        <is>
          <t>Föryngringsavverkning</t>
        </is>
      </c>
      <c r="D30" s="1" t="n">
        <v>44560</v>
      </c>
      <c r="E30" s="1" t="n">
        <v>46322</v>
      </c>
      <c r="F30" t="inlineStr">
        <is>
          <t>SKÅNE LÄN</t>
        </is>
      </c>
      <c r="G30" t="inlineStr">
        <is>
          <t>TOMELILLA</t>
        </is>
      </c>
      <c r="I30" t="n">
        <v>0.9</v>
      </c>
      <c r="J30" t="n">
        <v>0</v>
      </c>
      <c r="K30" t="n">
        <v>0</v>
      </c>
      <c r="L30" t="n">
        <v>0</v>
      </c>
      <c r="M30" t="n">
        <v>0</v>
      </c>
      <c r="N30" t="n">
        <v>0</v>
      </c>
      <c r="O30" t="n">
        <v>0</v>
      </c>
      <c r="P30" t="n">
        <v>0</v>
      </c>
      <c r="Q30" t="n">
        <v>0</v>
      </c>
      <c r="R30" t="n">
        <v>0</v>
      </c>
      <c r="S30" t="n">
        <v>0</v>
      </c>
      <c r="T30" t="n">
        <v>0</v>
      </c>
      <c r="U30" t="n">
        <v>0</v>
      </c>
      <c r="V30" s="2" t="inlineStr"/>
    </row>
    <row r="31" ht="15" customHeight="1">
      <c r="A31" t="inlineStr">
        <is>
          <t>A 19651-2022</t>
        </is>
      </c>
      <c r="B31" t="inlineStr">
        <is>
          <t>avverkningsanmälan</t>
        </is>
      </c>
      <c r="C31" t="inlineStr">
        <is>
          <t>Föryngringsavverkning</t>
        </is>
      </c>
      <c r="D31" s="1" t="n">
        <v>44694</v>
      </c>
      <c r="E31" s="1" t="n">
        <v>46322</v>
      </c>
      <c r="F31" t="inlineStr">
        <is>
          <t>SKÅNE LÄN</t>
        </is>
      </c>
      <c r="G31" t="inlineStr">
        <is>
          <t>TOMELILLA</t>
        </is>
      </c>
      <c r="I31" t="n">
        <v>0.4</v>
      </c>
      <c r="J31" t="n">
        <v>0</v>
      </c>
      <c r="K31" t="n">
        <v>0</v>
      </c>
      <c r="L31" t="n">
        <v>0</v>
      </c>
      <c r="M31" t="n">
        <v>0</v>
      </c>
      <c r="N31" t="n">
        <v>0</v>
      </c>
      <c r="O31" t="n">
        <v>0</v>
      </c>
      <c r="P31" t="n">
        <v>0</v>
      </c>
      <c r="Q31" t="n">
        <v>0</v>
      </c>
      <c r="R31" t="n">
        <v>0</v>
      </c>
      <c r="S31" t="n">
        <v>0</v>
      </c>
      <c r="T31" t="n">
        <v>0</v>
      </c>
      <c r="U31" t="n">
        <v>0</v>
      </c>
      <c r="V31" s="2" t="inlineStr"/>
    </row>
    <row r="32" ht="15" customHeight="1">
      <c r="A32" t="inlineStr">
        <is>
          <t>A 15197-2022</t>
        </is>
      </c>
      <c r="B32" t="inlineStr">
        <is>
          <t>avverkningsanmälan</t>
        </is>
      </c>
      <c r="C32" t="inlineStr">
        <is>
          <t>Föryngringsavverkning</t>
        </is>
      </c>
      <c r="D32" s="1" t="n">
        <v>44658</v>
      </c>
      <c r="E32" s="1" t="n">
        <v>46322</v>
      </c>
      <c r="F32" t="inlineStr">
        <is>
          <t>SKÅNE LÄN</t>
        </is>
      </c>
      <c r="G32" t="inlineStr">
        <is>
          <t>TOMELILLA</t>
        </is>
      </c>
      <c r="H32" t="inlineStr">
        <is>
          <t>Övriga Aktiebolag</t>
        </is>
      </c>
      <c r="I32" t="n">
        <v>4.9</v>
      </c>
      <c r="J32" t="n">
        <v>0</v>
      </c>
      <c r="K32" t="n">
        <v>0</v>
      </c>
      <c r="L32" t="n">
        <v>0</v>
      </c>
      <c r="M32" t="n">
        <v>0</v>
      </c>
      <c r="N32" t="n">
        <v>0</v>
      </c>
      <c r="O32" t="n">
        <v>0</v>
      </c>
      <c r="P32" t="n">
        <v>0</v>
      </c>
      <c r="Q32" t="n">
        <v>0</v>
      </c>
      <c r="R32" t="n">
        <v>0</v>
      </c>
      <c r="S32" t="n">
        <v>0</v>
      </c>
      <c r="T32" t="n">
        <v>0</v>
      </c>
      <c r="U32" t="n">
        <v>0</v>
      </c>
      <c r="V32" s="2" t="inlineStr"/>
    </row>
    <row r="33" ht="15" customHeight="1">
      <c r="A33" t="inlineStr">
        <is>
          <t>A 12919-2022</t>
        </is>
      </c>
      <c r="B33" t="inlineStr">
        <is>
          <t>avverkningsanmälan</t>
        </is>
      </c>
      <c r="C33" t="inlineStr">
        <is>
          <t>Föryngringsavverkning</t>
        </is>
      </c>
      <c r="D33" s="1" t="n">
        <v>44642</v>
      </c>
      <c r="E33" s="1" t="n">
        <v>46322</v>
      </c>
      <c r="F33" t="inlineStr">
        <is>
          <t>SKÅNE LÄN</t>
        </is>
      </c>
      <c r="G33" t="inlineStr">
        <is>
          <t>TOMELILLA</t>
        </is>
      </c>
      <c r="H33" t="inlineStr">
        <is>
          <t>Övriga Aktiebolag</t>
        </is>
      </c>
      <c r="I33" t="n">
        <v>3.2</v>
      </c>
      <c r="J33" t="n">
        <v>0</v>
      </c>
      <c r="K33" t="n">
        <v>0</v>
      </c>
      <c r="L33" t="n">
        <v>0</v>
      </c>
      <c r="M33" t="n">
        <v>0</v>
      </c>
      <c r="N33" t="n">
        <v>0</v>
      </c>
      <c r="O33" t="n">
        <v>0</v>
      </c>
      <c r="P33" t="n">
        <v>0</v>
      </c>
      <c r="Q33" t="n">
        <v>0</v>
      </c>
      <c r="R33" t="n">
        <v>0</v>
      </c>
      <c r="S33" t="n">
        <v>0</v>
      </c>
      <c r="T33" t="n">
        <v>0</v>
      </c>
      <c r="U33" t="n">
        <v>0</v>
      </c>
      <c r="V33" s="2" t="inlineStr"/>
    </row>
    <row r="34" ht="15" customHeight="1">
      <c r="A34" t="inlineStr">
        <is>
          <t>A 23461-2022</t>
        </is>
      </c>
      <c r="B34" t="inlineStr">
        <is>
          <t>avverkningsanmälan</t>
        </is>
      </c>
      <c r="C34" t="inlineStr">
        <is>
          <t>Föryngringsavverkning</t>
        </is>
      </c>
      <c r="D34" s="1" t="n">
        <v>44721</v>
      </c>
      <c r="E34" s="1" t="n">
        <v>46322</v>
      </c>
      <c r="F34" t="inlineStr">
        <is>
          <t>SKÅNE LÄN</t>
        </is>
      </c>
      <c r="G34" t="inlineStr">
        <is>
          <t>TOMELILLA</t>
        </is>
      </c>
      <c r="H34" t="inlineStr">
        <is>
          <t>Övriga Aktiebolag</t>
        </is>
      </c>
      <c r="I34" t="n">
        <v>3.5</v>
      </c>
      <c r="J34" t="n">
        <v>0</v>
      </c>
      <c r="K34" t="n">
        <v>0</v>
      </c>
      <c r="L34" t="n">
        <v>0</v>
      </c>
      <c r="M34" t="n">
        <v>0</v>
      </c>
      <c r="N34" t="n">
        <v>0</v>
      </c>
      <c r="O34" t="n">
        <v>0</v>
      </c>
      <c r="P34" t="n">
        <v>0</v>
      </c>
      <c r="Q34" t="n">
        <v>0</v>
      </c>
      <c r="R34" t="n">
        <v>0</v>
      </c>
      <c r="S34" t="n">
        <v>0</v>
      </c>
      <c r="T34" t="n">
        <v>0</v>
      </c>
      <c r="U34" t="n">
        <v>0</v>
      </c>
      <c r="V34" s="2" t="inlineStr"/>
    </row>
    <row r="35" ht="15" customHeight="1">
      <c r="A35" t="inlineStr">
        <is>
          <t>A 8455-2024</t>
        </is>
      </c>
      <c r="B35" t="inlineStr">
        <is>
          <t>avverkningsanmälan</t>
        </is>
      </c>
      <c r="C35" t="inlineStr">
        <is>
          <t>Föryngringsavverkning</t>
        </is>
      </c>
      <c r="D35" s="1" t="n">
        <v>45354</v>
      </c>
      <c r="E35" s="1" t="n">
        <v>46322</v>
      </c>
      <c r="F35" t="inlineStr">
        <is>
          <t>SKÅNE LÄN</t>
        </is>
      </c>
      <c r="G35" t="inlineStr">
        <is>
          <t>TOMELILLA</t>
        </is>
      </c>
      <c r="H35" t="inlineStr">
        <is>
          <t>Övriga Aktiebolag</t>
        </is>
      </c>
      <c r="I35" t="n">
        <v>5.1</v>
      </c>
      <c r="J35" t="n">
        <v>0</v>
      </c>
      <c r="K35" t="n">
        <v>0</v>
      </c>
      <c r="L35" t="n">
        <v>0</v>
      </c>
      <c r="M35" t="n">
        <v>0</v>
      </c>
      <c r="N35" t="n">
        <v>0</v>
      </c>
      <c r="O35" t="n">
        <v>0</v>
      </c>
      <c r="P35" t="n">
        <v>0</v>
      </c>
      <c r="Q35" t="n">
        <v>0</v>
      </c>
      <c r="R35" t="n">
        <v>0</v>
      </c>
      <c r="S35" t="n">
        <v>0</v>
      </c>
      <c r="T35" t="n">
        <v>0</v>
      </c>
      <c r="U35" t="n">
        <v>0</v>
      </c>
      <c r="V35" s="2" t="inlineStr"/>
    </row>
    <row r="36" ht="15" customHeight="1">
      <c r="A36" t="inlineStr">
        <is>
          <t>A 16027-2022</t>
        </is>
      </c>
      <c r="B36" t="inlineStr">
        <is>
          <t>avverkningsanmälan</t>
        </is>
      </c>
      <c r="C36" t="inlineStr">
        <is>
          <t>Föryngringsavverkning</t>
        </is>
      </c>
      <c r="D36" s="1" t="n">
        <v>44665</v>
      </c>
      <c r="E36" s="1" t="n">
        <v>46322</v>
      </c>
      <c r="F36" t="inlineStr">
        <is>
          <t>SKÅNE LÄN</t>
        </is>
      </c>
      <c r="G36" t="inlineStr">
        <is>
          <t>TOMELILLA</t>
        </is>
      </c>
      <c r="H36" t="inlineStr">
        <is>
          <t>Övriga Aktiebolag</t>
        </is>
      </c>
      <c r="I36" t="n">
        <v>1.9</v>
      </c>
      <c r="J36" t="n">
        <v>0</v>
      </c>
      <c r="K36" t="n">
        <v>0</v>
      </c>
      <c r="L36" t="n">
        <v>0</v>
      </c>
      <c r="M36" t="n">
        <v>0</v>
      </c>
      <c r="N36" t="n">
        <v>0</v>
      </c>
      <c r="O36" t="n">
        <v>0</v>
      </c>
      <c r="P36" t="n">
        <v>0</v>
      </c>
      <c r="Q36" t="n">
        <v>0</v>
      </c>
      <c r="R36" t="n">
        <v>0</v>
      </c>
      <c r="S36" t="n">
        <v>0</v>
      </c>
      <c r="T36" t="n">
        <v>0</v>
      </c>
      <c r="U36" t="n">
        <v>0</v>
      </c>
      <c r="V36" s="2" t="inlineStr"/>
    </row>
    <row r="37" ht="15" customHeight="1">
      <c r="A37" t="inlineStr">
        <is>
          <t>A 36180-2024</t>
        </is>
      </c>
      <c r="B37" t="inlineStr">
        <is>
          <t>avverkningsanmälan</t>
        </is>
      </c>
      <c r="C37" t="inlineStr">
        <is>
          <t>Föryngringsavverkning</t>
        </is>
      </c>
      <c r="D37" s="1" t="n">
        <v>45534</v>
      </c>
      <c r="E37" s="1" t="n">
        <v>46322</v>
      </c>
      <c r="F37" t="inlineStr">
        <is>
          <t>SKÅNE LÄN</t>
        </is>
      </c>
      <c r="G37" t="inlineStr">
        <is>
          <t>TOMELILLA</t>
        </is>
      </c>
      <c r="I37" t="n">
        <v>1.6</v>
      </c>
      <c r="J37" t="n">
        <v>0</v>
      </c>
      <c r="K37" t="n">
        <v>0</v>
      </c>
      <c r="L37" t="n">
        <v>0</v>
      </c>
      <c r="M37" t="n">
        <v>0</v>
      </c>
      <c r="N37" t="n">
        <v>0</v>
      </c>
      <c r="O37" t="n">
        <v>0</v>
      </c>
      <c r="P37" t="n">
        <v>0</v>
      </c>
      <c r="Q37" t="n">
        <v>0</v>
      </c>
      <c r="R37" t="n">
        <v>0</v>
      </c>
      <c r="S37" t="n">
        <v>0</v>
      </c>
      <c r="T37" t="n">
        <v>0</v>
      </c>
      <c r="U37" t="n">
        <v>0</v>
      </c>
      <c r="V37" s="2" t="inlineStr"/>
    </row>
    <row r="38" ht="15" customHeight="1">
      <c r="A38" t="inlineStr">
        <is>
          <t>A 15158-2025</t>
        </is>
      </c>
      <c r="B38" t="inlineStr">
        <is>
          <t>avverkningsanmälan</t>
        </is>
      </c>
      <c r="C38" t="inlineStr">
        <is>
          <t>Föryngringsavverkning</t>
        </is>
      </c>
      <c r="D38" s="1" t="n">
        <v>45744</v>
      </c>
      <c r="E38" s="1" t="n">
        <v>46322</v>
      </c>
      <c r="F38" t="inlineStr">
        <is>
          <t>SKÅNE LÄN</t>
        </is>
      </c>
      <c r="G38" t="inlineStr">
        <is>
          <t>TOMELILLA</t>
        </is>
      </c>
      <c r="I38" t="n">
        <v>1.8</v>
      </c>
      <c r="J38" t="n">
        <v>0</v>
      </c>
      <c r="K38" t="n">
        <v>0</v>
      </c>
      <c r="L38" t="n">
        <v>0</v>
      </c>
      <c r="M38" t="n">
        <v>0</v>
      </c>
      <c r="N38" t="n">
        <v>0</v>
      </c>
      <c r="O38" t="n">
        <v>0</v>
      </c>
      <c r="P38" t="n">
        <v>0</v>
      </c>
      <c r="Q38" t="n">
        <v>0</v>
      </c>
      <c r="R38" t="n">
        <v>0</v>
      </c>
      <c r="S38" t="n">
        <v>0</v>
      </c>
      <c r="T38" t="n">
        <v>0</v>
      </c>
      <c r="U38" t="n">
        <v>0</v>
      </c>
      <c r="V38" s="2" t="inlineStr"/>
    </row>
    <row r="39" ht="15" customHeight="1">
      <c r="A39" t="inlineStr">
        <is>
          <t>A 4651-2024</t>
        </is>
      </c>
      <c r="B39" t="inlineStr">
        <is>
          <t>avverkningsanmälan</t>
        </is>
      </c>
      <c r="C39" t="inlineStr">
        <is>
          <t>Föryngringsavverkning</t>
        </is>
      </c>
      <c r="D39" s="1" t="n">
        <v>45328</v>
      </c>
      <c r="E39" s="1" t="n">
        <v>46322</v>
      </c>
      <c r="F39" t="inlineStr">
        <is>
          <t>SKÅNE LÄN</t>
        </is>
      </c>
      <c r="G39" t="inlineStr">
        <is>
          <t>TOMELILLA</t>
        </is>
      </c>
      <c r="I39" t="n">
        <v>0.9</v>
      </c>
      <c r="J39" t="n">
        <v>0</v>
      </c>
      <c r="K39" t="n">
        <v>0</v>
      </c>
      <c r="L39" t="n">
        <v>0</v>
      </c>
      <c r="M39" t="n">
        <v>0</v>
      </c>
      <c r="N39" t="n">
        <v>0</v>
      </c>
      <c r="O39" t="n">
        <v>0</v>
      </c>
      <c r="P39" t="n">
        <v>0</v>
      </c>
      <c r="Q39" t="n">
        <v>0</v>
      </c>
      <c r="R39" t="n">
        <v>0</v>
      </c>
      <c r="S39" t="n">
        <v>0</v>
      </c>
      <c r="T39" t="n">
        <v>0</v>
      </c>
      <c r="U39" t="n">
        <v>0</v>
      </c>
      <c r="V39" s="2" t="inlineStr"/>
    </row>
    <row r="40" ht="15" customHeight="1">
      <c r="A40" t="inlineStr">
        <is>
          <t>A 12988-2024</t>
        </is>
      </c>
      <c r="B40" t="inlineStr">
        <is>
          <t>avverkningsanmälan</t>
        </is>
      </c>
      <c r="C40" t="inlineStr">
        <is>
          <t>Föryngringsavverkning</t>
        </is>
      </c>
      <c r="D40" s="1" t="n">
        <v>45385</v>
      </c>
      <c r="E40" s="1" t="n">
        <v>46322</v>
      </c>
      <c r="F40" t="inlineStr">
        <is>
          <t>SKÅNE LÄN</t>
        </is>
      </c>
      <c r="G40" t="inlineStr">
        <is>
          <t>TOMELILLA</t>
        </is>
      </c>
      <c r="H40" t="inlineStr">
        <is>
          <t>Övriga Aktiebolag</t>
        </is>
      </c>
      <c r="I40" t="n">
        <v>16.2</v>
      </c>
      <c r="J40" t="n">
        <v>0</v>
      </c>
      <c r="K40" t="n">
        <v>0</v>
      </c>
      <c r="L40" t="n">
        <v>0</v>
      </c>
      <c r="M40" t="n">
        <v>0</v>
      </c>
      <c r="N40" t="n">
        <v>0</v>
      </c>
      <c r="O40" t="n">
        <v>0</v>
      </c>
      <c r="P40" t="n">
        <v>0</v>
      </c>
      <c r="Q40" t="n">
        <v>0</v>
      </c>
      <c r="R40" t="n">
        <v>0</v>
      </c>
      <c r="S40" t="n">
        <v>0</v>
      </c>
      <c r="T40" t="n">
        <v>0</v>
      </c>
      <c r="U40" t="n">
        <v>0</v>
      </c>
      <c r="V40" s="2" t="inlineStr"/>
    </row>
    <row r="41" ht="15" customHeight="1">
      <c r="A41" t="inlineStr">
        <is>
          <t>A 15305-2025</t>
        </is>
      </c>
      <c r="B41" t="inlineStr">
        <is>
          <t>avverkningsanmälan</t>
        </is>
      </c>
      <c r="C41" t="inlineStr">
        <is>
          <t>Avverkning för annat ändamål</t>
        </is>
      </c>
      <c r="D41" s="1" t="n">
        <v>45746</v>
      </c>
      <c r="E41" s="1" t="n">
        <v>46322</v>
      </c>
      <c r="F41" t="inlineStr">
        <is>
          <t>SKÅNE LÄN</t>
        </is>
      </c>
      <c r="G41" t="inlineStr">
        <is>
          <t>TOMELILLA</t>
        </is>
      </c>
      <c r="I41" t="n">
        <v>0.6</v>
      </c>
      <c r="J41" t="n">
        <v>0</v>
      </c>
      <c r="K41" t="n">
        <v>0</v>
      </c>
      <c r="L41" t="n">
        <v>0</v>
      </c>
      <c r="M41" t="n">
        <v>0</v>
      </c>
      <c r="N41" t="n">
        <v>0</v>
      </c>
      <c r="O41" t="n">
        <v>0</v>
      </c>
      <c r="P41" t="n">
        <v>0</v>
      </c>
      <c r="Q41" t="n">
        <v>0</v>
      </c>
      <c r="R41" t="n">
        <v>0</v>
      </c>
      <c r="S41" t="n">
        <v>0</v>
      </c>
      <c r="T41" t="n">
        <v>0</v>
      </c>
      <c r="U41" t="n">
        <v>0</v>
      </c>
      <c r="V41" s="2" t="inlineStr"/>
    </row>
    <row r="42" ht="15" customHeight="1">
      <c r="A42" t="inlineStr">
        <is>
          <t>A 60817-2023</t>
        </is>
      </c>
      <c r="B42" t="inlineStr">
        <is>
          <t>avverkningsanmälan</t>
        </is>
      </c>
      <c r="C42" t="inlineStr">
        <is>
          <t>Föryngringsavverkning</t>
        </is>
      </c>
      <c r="D42" s="1" t="n">
        <v>45260</v>
      </c>
      <c r="E42" s="1" t="n">
        <v>46322</v>
      </c>
      <c r="F42" t="inlineStr">
        <is>
          <t>SKÅNE LÄN</t>
        </is>
      </c>
      <c r="G42" t="inlineStr">
        <is>
          <t>TOMELILLA</t>
        </is>
      </c>
      <c r="I42" t="n">
        <v>4.3</v>
      </c>
      <c r="J42" t="n">
        <v>0</v>
      </c>
      <c r="K42" t="n">
        <v>0</v>
      </c>
      <c r="L42" t="n">
        <v>0</v>
      </c>
      <c r="M42" t="n">
        <v>0</v>
      </c>
      <c r="N42" t="n">
        <v>0</v>
      </c>
      <c r="O42" t="n">
        <v>0</v>
      </c>
      <c r="P42" t="n">
        <v>0</v>
      </c>
      <c r="Q42" t="n">
        <v>0</v>
      </c>
      <c r="R42" t="n">
        <v>0</v>
      </c>
      <c r="S42" t="n">
        <v>0</v>
      </c>
      <c r="T42" t="n">
        <v>0</v>
      </c>
      <c r="U42" t="n">
        <v>0</v>
      </c>
      <c r="V42" s="2" t="inlineStr"/>
    </row>
    <row r="43" ht="15" customHeight="1">
      <c r="A43" t="inlineStr">
        <is>
          <t>A 4023-2024</t>
        </is>
      </c>
      <c r="B43" t="inlineStr">
        <is>
          <t>avverkningsanmälan</t>
        </is>
      </c>
      <c r="C43" t="inlineStr">
        <is>
          <t>Föryngringsavverkning</t>
        </is>
      </c>
      <c r="D43" s="1" t="n">
        <v>45323</v>
      </c>
      <c r="E43" s="1" t="n">
        <v>46322</v>
      </c>
      <c r="F43" t="inlineStr">
        <is>
          <t>SKÅNE LÄN</t>
        </is>
      </c>
      <c r="G43" t="inlineStr">
        <is>
          <t>TOMELILLA</t>
        </is>
      </c>
      <c r="H43" t="inlineStr">
        <is>
          <t>Övriga Aktiebolag</t>
        </is>
      </c>
      <c r="I43" t="n">
        <v>15.2</v>
      </c>
      <c r="J43" t="n">
        <v>0</v>
      </c>
      <c r="K43" t="n">
        <v>0</v>
      </c>
      <c r="L43" t="n">
        <v>0</v>
      </c>
      <c r="M43" t="n">
        <v>0</v>
      </c>
      <c r="N43" t="n">
        <v>0</v>
      </c>
      <c r="O43" t="n">
        <v>0</v>
      </c>
      <c r="P43" t="n">
        <v>0</v>
      </c>
      <c r="Q43" t="n">
        <v>0</v>
      </c>
      <c r="R43" t="n">
        <v>0</v>
      </c>
      <c r="S43" t="n">
        <v>0</v>
      </c>
      <c r="T43" t="n">
        <v>0</v>
      </c>
      <c r="U43" t="n">
        <v>0</v>
      </c>
      <c r="V43" s="2" t="inlineStr"/>
    </row>
    <row r="44" ht="15" customHeight="1">
      <c r="A44" t="inlineStr">
        <is>
          <t>A 48171-2025</t>
        </is>
      </c>
      <c r="B44" t="inlineStr">
        <is>
          <t>avverkningsanmälan</t>
        </is>
      </c>
      <c r="C44" t="inlineStr">
        <is>
          <t>Föryngringsavverkning</t>
        </is>
      </c>
      <c r="D44" s="1" t="n">
        <v>45933</v>
      </c>
      <c r="E44" s="1" t="n">
        <v>46322</v>
      </c>
      <c r="F44" t="inlineStr">
        <is>
          <t>SKÅNE LÄN</t>
        </is>
      </c>
      <c r="G44" t="inlineStr">
        <is>
          <t>TOMELILLA</t>
        </is>
      </c>
      <c r="I44" t="n">
        <v>1.9</v>
      </c>
      <c r="J44" t="n">
        <v>0</v>
      </c>
      <c r="K44" t="n">
        <v>0</v>
      </c>
      <c r="L44" t="n">
        <v>0</v>
      </c>
      <c r="M44" t="n">
        <v>0</v>
      </c>
      <c r="N44" t="n">
        <v>0</v>
      </c>
      <c r="O44" t="n">
        <v>0</v>
      </c>
      <c r="P44" t="n">
        <v>0</v>
      </c>
      <c r="Q44" t="n">
        <v>0</v>
      </c>
      <c r="R44" t="n">
        <v>0</v>
      </c>
      <c r="S44" t="n">
        <v>0</v>
      </c>
      <c r="T44" t="n">
        <v>0</v>
      </c>
      <c r="U44" t="n">
        <v>0</v>
      </c>
      <c r="V44" s="2" t="inlineStr"/>
    </row>
    <row r="45" ht="15" customHeight="1">
      <c r="A45" t="inlineStr">
        <is>
          <t>A 39791-2025</t>
        </is>
      </c>
      <c r="B45" t="inlineStr">
        <is>
          <t>avverkningsanmälan</t>
        </is>
      </c>
      <c r="C45" t="inlineStr">
        <is>
          <t>Föryngringsavverkning</t>
        </is>
      </c>
      <c r="D45" s="1" t="n">
        <v>45891</v>
      </c>
      <c r="E45" s="1" t="n">
        <v>46322</v>
      </c>
      <c r="F45" t="inlineStr">
        <is>
          <t>SKÅNE LÄN</t>
        </is>
      </c>
      <c r="G45" t="inlineStr">
        <is>
          <t>TOMELILLA</t>
        </is>
      </c>
      <c r="I45" t="n">
        <v>3.8</v>
      </c>
      <c r="J45" t="n">
        <v>0</v>
      </c>
      <c r="K45" t="n">
        <v>0</v>
      </c>
      <c r="L45" t="n">
        <v>0</v>
      </c>
      <c r="M45" t="n">
        <v>0</v>
      </c>
      <c r="N45" t="n">
        <v>0</v>
      </c>
      <c r="O45" t="n">
        <v>0</v>
      </c>
      <c r="P45" t="n">
        <v>0</v>
      </c>
      <c r="Q45" t="n">
        <v>0</v>
      </c>
      <c r="R45" t="n">
        <v>0</v>
      </c>
      <c r="S45" t="n">
        <v>0</v>
      </c>
      <c r="T45" t="n">
        <v>0</v>
      </c>
      <c r="U45" t="n">
        <v>0</v>
      </c>
      <c r="V45" s="2" t="inlineStr"/>
    </row>
    <row r="46" ht="15" customHeight="1">
      <c r="A46" t="inlineStr">
        <is>
          <t>A 2548-2024</t>
        </is>
      </c>
      <c r="B46" t="inlineStr">
        <is>
          <t>avverkningsanmälan</t>
        </is>
      </c>
      <c r="C46" t="inlineStr">
        <is>
          <t>Föryngringsavverkning</t>
        </is>
      </c>
      <c r="D46" s="1" t="n">
        <v>45313</v>
      </c>
      <c r="E46" s="1" t="n">
        <v>46322</v>
      </c>
      <c r="F46" t="inlineStr">
        <is>
          <t>SKÅNE LÄN</t>
        </is>
      </c>
      <c r="G46" t="inlineStr">
        <is>
          <t>TOMELILLA</t>
        </is>
      </c>
      <c r="I46" t="n">
        <v>0.5</v>
      </c>
      <c r="J46" t="n">
        <v>0</v>
      </c>
      <c r="K46" t="n">
        <v>0</v>
      </c>
      <c r="L46" t="n">
        <v>0</v>
      </c>
      <c r="M46" t="n">
        <v>0</v>
      </c>
      <c r="N46" t="n">
        <v>0</v>
      </c>
      <c r="O46" t="n">
        <v>0</v>
      </c>
      <c r="P46" t="n">
        <v>0</v>
      </c>
      <c r="Q46" t="n">
        <v>0</v>
      </c>
      <c r="R46" t="n">
        <v>0</v>
      </c>
      <c r="S46" t="n">
        <v>0</v>
      </c>
      <c r="T46" t="n">
        <v>0</v>
      </c>
      <c r="U46" t="n">
        <v>0</v>
      </c>
      <c r="V46" s="2" t="inlineStr"/>
    </row>
    <row r="47" ht="15" customHeight="1">
      <c r="A47" t="inlineStr">
        <is>
          <t>A 13159-2024</t>
        </is>
      </c>
      <c r="B47" t="inlineStr">
        <is>
          <t>avverkningsanmälan</t>
        </is>
      </c>
      <c r="C47" t="inlineStr">
        <is>
          <t>Föryngringsavverkning</t>
        </is>
      </c>
      <c r="D47" s="1" t="n">
        <v>45386</v>
      </c>
      <c r="E47" s="1" t="n">
        <v>46322</v>
      </c>
      <c r="F47" t="inlineStr">
        <is>
          <t>SKÅNE LÄN</t>
        </is>
      </c>
      <c r="G47" t="inlineStr">
        <is>
          <t>TOMELILLA</t>
        </is>
      </c>
      <c r="I47" t="n">
        <v>1.3</v>
      </c>
      <c r="J47" t="n">
        <v>0</v>
      </c>
      <c r="K47" t="n">
        <v>0</v>
      </c>
      <c r="L47" t="n">
        <v>0</v>
      </c>
      <c r="M47" t="n">
        <v>0</v>
      </c>
      <c r="N47" t="n">
        <v>0</v>
      </c>
      <c r="O47" t="n">
        <v>0</v>
      </c>
      <c r="P47" t="n">
        <v>0</v>
      </c>
      <c r="Q47" t="n">
        <v>0</v>
      </c>
      <c r="R47" t="n">
        <v>0</v>
      </c>
      <c r="S47" t="n">
        <v>0</v>
      </c>
      <c r="T47" t="n">
        <v>0</v>
      </c>
      <c r="U47" t="n">
        <v>0</v>
      </c>
      <c r="V47" s="2" t="inlineStr"/>
    </row>
    <row r="48" ht="15" customHeight="1">
      <c r="A48" t="inlineStr">
        <is>
          <t>A 12310-2023</t>
        </is>
      </c>
      <c r="B48" t="inlineStr">
        <is>
          <t>avverkningsanmälan</t>
        </is>
      </c>
      <c r="C48" t="inlineStr">
        <is>
          <t>Föryngringsavverkning</t>
        </is>
      </c>
      <c r="D48" s="1" t="n">
        <v>44999</v>
      </c>
      <c r="E48" s="1" t="n">
        <v>46322</v>
      </c>
      <c r="F48" t="inlineStr">
        <is>
          <t>SKÅNE LÄN</t>
        </is>
      </c>
      <c r="G48" t="inlineStr">
        <is>
          <t>TOMELILLA</t>
        </is>
      </c>
      <c r="H48" t="inlineStr">
        <is>
          <t>Sveaskog</t>
        </is>
      </c>
      <c r="I48" t="n">
        <v>2.2</v>
      </c>
      <c r="J48" t="n">
        <v>0</v>
      </c>
      <c r="K48" t="n">
        <v>0</v>
      </c>
      <c r="L48" t="n">
        <v>0</v>
      </c>
      <c r="M48" t="n">
        <v>0</v>
      </c>
      <c r="N48" t="n">
        <v>0</v>
      </c>
      <c r="O48" t="n">
        <v>0</v>
      </c>
      <c r="P48" t="n">
        <v>0</v>
      </c>
      <c r="Q48" t="n">
        <v>0</v>
      </c>
      <c r="R48" t="n">
        <v>0</v>
      </c>
      <c r="S48" t="n">
        <v>0</v>
      </c>
      <c r="T48" t="n">
        <v>0</v>
      </c>
      <c r="U48" t="n">
        <v>0</v>
      </c>
      <c r="V48" s="2" t="inlineStr"/>
    </row>
    <row r="49" ht="15" customHeight="1">
      <c r="A49" t="inlineStr">
        <is>
          <t>A 2555-2022</t>
        </is>
      </c>
      <c r="B49" t="inlineStr">
        <is>
          <t>avverkningsanmälan</t>
        </is>
      </c>
      <c r="C49" t="inlineStr">
        <is>
          <t>Föryngringsavverkning</t>
        </is>
      </c>
      <c r="D49" s="1" t="n">
        <v>44579</v>
      </c>
      <c r="E49" s="1" t="n">
        <v>46322</v>
      </c>
      <c r="F49" t="inlineStr">
        <is>
          <t>SKÅNE LÄN</t>
        </is>
      </c>
      <c r="G49" t="inlineStr">
        <is>
          <t>TOMELILLA</t>
        </is>
      </c>
      <c r="I49" t="n">
        <v>1</v>
      </c>
      <c r="J49" t="n">
        <v>0</v>
      </c>
      <c r="K49" t="n">
        <v>0</v>
      </c>
      <c r="L49" t="n">
        <v>0</v>
      </c>
      <c r="M49" t="n">
        <v>0</v>
      </c>
      <c r="N49" t="n">
        <v>0</v>
      </c>
      <c r="O49" t="n">
        <v>0</v>
      </c>
      <c r="P49" t="n">
        <v>0</v>
      </c>
      <c r="Q49" t="n">
        <v>0</v>
      </c>
      <c r="R49" t="n">
        <v>0</v>
      </c>
      <c r="S49" t="n">
        <v>0</v>
      </c>
      <c r="T49" t="n">
        <v>0</v>
      </c>
      <c r="U49" t="n">
        <v>0</v>
      </c>
      <c r="V49" s="2" t="inlineStr"/>
    </row>
    <row r="50" ht="15" customHeight="1">
      <c r="A50" t="inlineStr">
        <is>
          <t>A 743-2024</t>
        </is>
      </c>
      <c r="B50" t="inlineStr">
        <is>
          <t>avverkningsanmälan</t>
        </is>
      </c>
      <c r="C50" t="inlineStr">
        <is>
          <t>Föryngringsavverkning</t>
        </is>
      </c>
      <c r="D50" s="1" t="n">
        <v>45300</v>
      </c>
      <c r="E50" s="1" t="n">
        <v>46322</v>
      </c>
      <c r="F50" t="inlineStr">
        <is>
          <t>SKÅNE LÄN</t>
        </is>
      </c>
      <c r="G50" t="inlineStr">
        <is>
          <t>TOMELILLA</t>
        </is>
      </c>
      <c r="H50" t="inlineStr">
        <is>
          <t>Övriga Aktiebolag</t>
        </is>
      </c>
      <c r="I50" t="n">
        <v>11.1</v>
      </c>
      <c r="J50" t="n">
        <v>0</v>
      </c>
      <c r="K50" t="n">
        <v>0</v>
      </c>
      <c r="L50" t="n">
        <v>0</v>
      </c>
      <c r="M50" t="n">
        <v>0</v>
      </c>
      <c r="N50" t="n">
        <v>0</v>
      </c>
      <c r="O50" t="n">
        <v>0</v>
      </c>
      <c r="P50" t="n">
        <v>0</v>
      </c>
      <c r="Q50" t="n">
        <v>0</v>
      </c>
      <c r="R50" t="n">
        <v>0</v>
      </c>
      <c r="S50" t="n">
        <v>0</v>
      </c>
      <c r="T50" t="n">
        <v>0</v>
      </c>
      <c r="U50" t="n">
        <v>0</v>
      </c>
      <c r="V50" s="2" t="inlineStr"/>
    </row>
    <row r="51" ht="15" customHeight="1">
      <c r="A51" t="inlineStr">
        <is>
          <t>A 15921-2025</t>
        </is>
      </c>
      <c r="B51" t="inlineStr">
        <is>
          <t>avverkningsanmälan</t>
        </is>
      </c>
      <c r="C51" t="inlineStr">
        <is>
          <t>Föryngringsavverkning</t>
        </is>
      </c>
      <c r="D51" s="1" t="n">
        <v>45749</v>
      </c>
      <c r="E51" s="1" t="n">
        <v>46322</v>
      </c>
      <c r="F51" t="inlineStr">
        <is>
          <t>SKÅNE LÄN</t>
        </is>
      </c>
      <c r="G51" t="inlineStr">
        <is>
          <t>TOMELILLA</t>
        </is>
      </c>
      <c r="I51" t="n">
        <v>2.8</v>
      </c>
      <c r="J51" t="n">
        <v>0</v>
      </c>
      <c r="K51" t="n">
        <v>0</v>
      </c>
      <c r="L51" t="n">
        <v>0</v>
      </c>
      <c r="M51" t="n">
        <v>0</v>
      </c>
      <c r="N51" t="n">
        <v>0</v>
      </c>
      <c r="O51" t="n">
        <v>0</v>
      </c>
      <c r="P51" t="n">
        <v>0</v>
      </c>
      <c r="Q51" t="n">
        <v>0</v>
      </c>
      <c r="R51" t="n">
        <v>0</v>
      </c>
      <c r="S51" t="n">
        <v>0</v>
      </c>
      <c r="T51" t="n">
        <v>0</v>
      </c>
      <c r="U51" t="n">
        <v>0</v>
      </c>
      <c r="V51" s="2" t="inlineStr"/>
    </row>
    <row r="52" ht="15" customHeight="1">
      <c r="A52" t="inlineStr">
        <is>
          <t>A 35742-2024</t>
        </is>
      </c>
      <c r="B52" t="inlineStr">
        <is>
          <t>avverkningsanmälan</t>
        </is>
      </c>
      <c r="C52" t="inlineStr">
        <is>
          <t>Föryngringsavverkning</t>
        </is>
      </c>
      <c r="D52" s="1" t="n">
        <v>45532</v>
      </c>
      <c r="E52" s="1" t="n">
        <v>46322</v>
      </c>
      <c r="F52" t="inlineStr">
        <is>
          <t>SKÅNE LÄN</t>
        </is>
      </c>
      <c r="G52" t="inlineStr">
        <is>
          <t>TOMELILLA</t>
        </is>
      </c>
      <c r="I52" t="n">
        <v>1</v>
      </c>
      <c r="J52" t="n">
        <v>0</v>
      </c>
      <c r="K52" t="n">
        <v>0</v>
      </c>
      <c r="L52" t="n">
        <v>0</v>
      </c>
      <c r="M52" t="n">
        <v>0</v>
      </c>
      <c r="N52" t="n">
        <v>0</v>
      </c>
      <c r="O52" t="n">
        <v>0</v>
      </c>
      <c r="P52" t="n">
        <v>0</v>
      </c>
      <c r="Q52" t="n">
        <v>0</v>
      </c>
      <c r="R52" t="n">
        <v>0</v>
      </c>
      <c r="S52" t="n">
        <v>0</v>
      </c>
      <c r="T52" t="n">
        <v>0</v>
      </c>
      <c r="U52" t="n">
        <v>0</v>
      </c>
      <c r="V52" s="2" t="inlineStr"/>
    </row>
    <row r="53" ht="15" customHeight="1">
      <c r="A53" t="inlineStr">
        <is>
          <t>A 15075-2024</t>
        </is>
      </c>
      <c r="B53" t="inlineStr">
        <is>
          <t>avverkningsanmälan</t>
        </is>
      </c>
      <c r="C53" t="inlineStr">
        <is>
          <t>Avverkning för annat ändamål</t>
        </is>
      </c>
      <c r="D53" s="1" t="n">
        <v>45399</v>
      </c>
      <c r="E53" s="1" t="n">
        <v>46322</v>
      </c>
      <c r="F53" t="inlineStr">
        <is>
          <t>SKÅNE LÄN</t>
        </is>
      </c>
      <c r="G53" t="inlineStr">
        <is>
          <t>TOMELILLA</t>
        </is>
      </c>
      <c r="I53" t="n">
        <v>1.7</v>
      </c>
      <c r="J53" t="n">
        <v>0</v>
      </c>
      <c r="K53" t="n">
        <v>0</v>
      </c>
      <c r="L53" t="n">
        <v>0</v>
      </c>
      <c r="M53" t="n">
        <v>0</v>
      </c>
      <c r="N53" t="n">
        <v>0</v>
      </c>
      <c r="O53" t="n">
        <v>0</v>
      </c>
      <c r="P53" t="n">
        <v>0</v>
      </c>
      <c r="Q53" t="n">
        <v>0</v>
      </c>
      <c r="R53" t="n">
        <v>0</v>
      </c>
      <c r="S53" t="n">
        <v>0</v>
      </c>
      <c r="T53" t="n">
        <v>0</v>
      </c>
      <c r="U53" t="n">
        <v>0</v>
      </c>
      <c r="V53" s="2" t="inlineStr"/>
    </row>
    <row r="54" ht="15" customHeight="1">
      <c r="A54" t="inlineStr">
        <is>
          <t>A 35715-2024</t>
        </is>
      </c>
      <c r="B54" t="inlineStr">
        <is>
          <t>avverkningsanmälan</t>
        </is>
      </c>
      <c r="C54" t="inlineStr">
        <is>
          <t>Föryngringsavverkning</t>
        </is>
      </c>
      <c r="D54" s="1" t="n">
        <v>45532</v>
      </c>
      <c r="E54" s="1" t="n">
        <v>46322</v>
      </c>
      <c r="F54" t="inlineStr">
        <is>
          <t>SKÅNE LÄN</t>
        </is>
      </c>
      <c r="G54" t="inlineStr">
        <is>
          <t>TOMELILLA</t>
        </is>
      </c>
      <c r="I54" t="n">
        <v>1.2</v>
      </c>
      <c r="J54" t="n">
        <v>0</v>
      </c>
      <c r="K54" t="n">
        <v>0</v>
      </c>
      <c r="L54" t="n">
        <v>0</v>
      </c>
      <c r="M54" t="n">
        <v>0</v>
      </c>
      <c r="N54" t="n">
        <v>0</v>
      </c>
      <c r="O54" t="n">
        <v>0</v>
      </c>
      <c r="P54" t="n">
        <v>0</v>
      </c>
      <c r="Q54" t="n">
        <v>0</v>
      </c>
      <c r="R54" t="n">
        <v>0</v>
      </c>
      <c r="S54" t="n">
        <v>0</v>
      </c>
      <c r="T54" t="n">
        <v>0</v>
      </c>
      <c r="U54" t="n">
        <v>0</v>
      </c>
      <c r="V54" s="2" t="inlineStr"/>
    </row>
    <row r="55" ht="15" customHeight="1">
      <c r="A55" t="inlineStr">
        <is>
          <t>A 11887-2024</t>
        </is>
      </c>
      <c r="B55" t="inlineStr">
        <is>
          <t>avverkningsanmälan</t>
        </is>
      </c>
      <c r="C55" t="inlineStr">
        <is>
          <t>Föryngringsavverkning</t>
        </is>
      </c>
      <c r="D55" s="1" t="n">
        <v>45376</v>
      </c>
      <c r="E55" s="1" t="n">
        <v>46322</v>
      </c>
      <c r="F55" t="inlineStr">
        <is>
          <t>SKÅNE LÄN</t>
        </is>
      </c>
      <c r="G55" t="inlineStr">
        <is>
          <t>TOMELILLA</t>
        </is>
      </c>
      <c r="H55" t="inlineStr">
        <is>
          <t>Övriga Aktiebolag</t>
        </is>
      </c>
      <c r="I55" t="n">
        <v>6.3</v>
      </c>
      <c r="J55" t="n">
        <v>0</v>
      </c>
      <c r="K55" t="n">
        <v>0</v>
      </c>
      <c r="L55" t="n">
        <v>0</v>
      </c>
      <c r="M55" t="n">
        <v>0</v>
      </c>
      <c r="N55" t="n">
        <v>0</v>
      </c>
      <c r="O55" t="n">
        <v>0</v>
      </c>
      <c r="P55" t="n">
        <v>0</v>
      </c>
      <c r="Q55" t="n">
        <v>0</v>
      </c>
      <c r="R55" t="n">
        <v>0</v>
      </c>
      <c r="S55" t="n">
        <v>0</v>
      </c>
      <c r="T55" t="n">
        <v>0</v>
      </c>
      <c r="U55" t="n">
        <v>0</v>
      </c>
      <c r="V55" s="2" t="inlineStr"/>
    </row>
    <row r="56" ht="15" customHeight="1">
      <c r="A56" t="inlineStr">
        <is>
          <t>A 10272-2023</t>
        </is>
      </c>
      <c r="B56" t="inlineStr">
        <is>
          <t>avverkningsanmälan</t>
        </is>
      </c>
      <c r="C56" t="inlineStr">
        <is>
          <t>Föryngringsavverkning</t>
        </is>
      </c>
      <c r="D56" s="1" t="n">
        <v>44986</v>
      </c>
      <c r="E56" s="1" t="n">
        <v>46322</v>
      </c>
      <c r="F56" t="inlineStr">
        <is>
          <t>SKÅNE LÄN</t>
        </is>
      </c>
      <c r="G56" t="inlineStr">
        <is>
          <t>TOMELILLA</t>
        </is>
      </c>
      <c r="H56" t="inlineStr">
        <is>
          <t>Övriga Aktiebolag</t>
        </is>
      </c>
      <c r="I56" t="n">
        <v>7.7</v>
      </c>
      <c r="J56" t="n">
        <v>0</v>
      </c>
      <c r="K56" t="n">
        <v>0</v>
      </c>
      <c r="L56" t="n">
        <v>0</v>
      </c>
      <c r="M56" t="n">
        <v>0</v>
      </c>
      <c r="N56" t="n">
        <v>0</v>
      </c>
      <c r="O56" t="n">
        <v>0</v>
      </c>
      <c r="P56" t="n">
        <v>0</v>
      </c>
      <c r="Q56" t="n">
        <v>0</v>
      </c>
      <c r="R56" t="n">
        <v>0</v>
      </c>
      <c r="S56" t="n">
        <v>0</v>
      </c>
      <c r="T56" t="n">
        <v>0</v>
      </c>
      <c r="U56" t="n">
        <v>0</v>
      </c>
      <c r="V56" s="2" t="inlineStr"/>
    </row>
    <row r="57" ht="15" customHeight="1">
      <c r="A57" t="inlineStr">
        <is>
          <t>A 11806-2025</t>
        </is>
      </c>
      <c r="B57" t="inlineStr">
        <is>
          <t>avverkningsanmälan</t>
        </is>
      </c>
      <c r="C57" t="inlineStr">
        <is>
          <t>Föryngringsavverkning</t>
        </is>
      </c>
      <c r="D57" s="1" t="n">
        <v>45727</v>
      </c>
      <c r="E57" s="1" t="n">
        <v>46322</v>
      </c>
      <c r="F57" t="inlineStr">
        <is>
          <t>SKÅNE LÄN</t>
        </is>
      </c>
      <c r="G57" t="inlineStr">
        <is>
          <t>TOMELILLA</t>
        </is>
      </c>
      <c r="I57" t="n">
        <v>3.1</v>
      </c>
      <c r="J57" t="n">
        <v>0</v>
      </c>
      <c r="K57" t="n">
        <v>0</v>
      </c>
      <c r="L57" t="n">
        <v>0</v>
      </c>
      <c r="M57" t="n">
        <v>0</v>
      </c>
      <c r="N57" t="n">
        <v>0</v>
      </c>
      <c r="O57" t="n">
        <v>0</v>
      </c>
      <c r="P57" t="n">
        <v>0</v>
      </c>
      <c r="Q57" t="n">
        <v>0</v>
      </c>
      <c r="R57" t="n">
        <v>0</v>
      </c>
      <c r="S57" t="n">
        <v>0</v>
      </c>
      <c r="T57" t="n">
        <v>0</v>
      </c>
      <c r="U57" t="n">
        <v>0</v>
      </c>
      <c r="V57" s="2" t="inlineStr"/>
    </row>
    <row r="58" ht="15" customHeight="1">
      <c r="A58" t="inlineStr">
        <is>
          <t>A 11810-2025</t>
        </is>
      </c>
      <c r="B58" t="inlineStr">
        <is>
          <t>avverkningsanmälan</t>
        </is>
      </c>
      <c r="C58" t="inlineStr">
        <is>
          <t>Föryngringsavverkning</t>
        </is>
      </c>
      <c r="D58" s="1" t="n">
        <v>45727</v>
      </c>
      <c r="E58" s="1" t="n">
        <v>46322</v>
      </c>
      <c r="F58" t="inlineStr">
        <is>
          <t>SKÅNE LÄN</t>
        </is>
      </c>
      <c r="G58" t="inlineStr">
        <is>
          <t>TOMELILLA</t>
        </is>
      </c>
      <c r="I58" t="n">
        <v>2.9</v>
      </c>
      <c r="J58" t="n">
        <v>0</v>
      </c>
      <c r="K58" t="n">
        <v>0</v>
      </c>
      <c r="L58" t="n">
        <v>0</v>
      </c>
      <c r="M58" t="n">
        <v>0</v>
      </c>
      <c r="N58" t="n">
        <v>0</v>
      </c>
      <c r="O58" t="n">
        <v>0</v>
      </c>
      <c r="P58" t="n">
        <v>0</v>
      </c>
      <c r="Q58" t="n">
        <v>0</v>
      </c>
      <c r="R58" t="n">
        <v>0</v>
      </c>
      <c r="S58" t="n">
        <v>0</v>
      </c>
      <c r="T58" t="n">
        <v>0</v>
      </c>
      <c r="U58" t="n">
        <v>0</v>
      </c>
      <c r="V58" s="2" t="inlineStr"/>
    </row>
    <row r="59" ht="15" customHeight="1">
      <c r="A59" t="inlineStr">
        <is>
          <t>A 15012-2024</t>
        </is>
      </c>
      <c r="B59" t="inlineStr">
        <is>
          <t>avverkningsanmälan</t>
        </is>
      </c>
      <c r="C59" t="inlineStr">
        <is>
          <t>Föryngringsavverkning</t>
        </is>
      </c>
      <c r="D59" s="1" t="n">
        <v>45399</v>
      </c>
      <c r="E59" s="1" t="n">
        <v>46322</v>
      </c>
      <c r="F59" t="inlineStr">
        <is>
          <t>SKÅNE LÄN</t>
        </is>
      </c>
      <c r="G59" t="inlineStr">
        <is>
          <t>TOMELILLA</t>
        </is>
      </c>
      <c r="I59" t="n">
        <v>6.9</v>
      </c>
      <c r="J59" t="n">
        <v>0</v>
      </c>
      <c r="K59" t="n">
        <v>0</v>
      </c>
      <c r="L59" t="n">
        <v>0</v>
      </c>
      <c r="M59" t="n">
        <v>0</v>
      </c>
      <c r="N59" t="n">
        <v>0</v>
      </c>
      <c r="O59" t="n">
        <v>0</v>
      </c>
      <c r="P59" t="n">
        <v>0</v>
      </c>
      <c r="Q59" t="n">
        <v>0</v>
      </c>
      <c r="R59" t="n">
        <v>0</v>
      </c>
      <c r="S59" t="n">
        <v>0</v>
      </c>
      <c r="T59" t="n">
        <v>0</v>
      </c>
      <c r="U59" t="n">
        <v>0</v>
      </c>
      <c r="V59" s="2" t="inlineStr"/>
    </row>
    <row r="60" ht="15" customHeight="1">
      <c r="A60" t="inlineStr">
        <is>
          <t>A 23185-2025</t>
        </is>
      </c>
      <c r="B60" t="inlineStr">
        <is>
          <t>avverkningsanmälan</t>
        </is>
      </c>
      <c r="C60" t="inlineStr">
        <is>
          <t>Avverkning för att bevara och utveckla /försöksver</t>
        </is>
      </c>
      <c r="D60" s="1" t="n">
        <v>45791</v>
      </c>
      <c r="E60" s="1" t="n">
        <v>46322</v>
      </c>
      <c r="F60" t="inlineStr">
        <is>
          <t>SKÅNE LÄN</t>
        </is>
      </c>
      <c r="G60" t="inlineStr">
        <is>
          <t>TOMELILLA</t>
        </is>
      </c>
      <c r="I60" t="n">
        <v>0.8</v>
      </c>
      <c r="J60" t="n">
        <v>0</v>
      </c>
      <c r="K60" t="n">
        <v>0</v>
      </c>
      <c r="L60" t="n">
        <v>0</v>
      </c>
      <c r="M60" t="n">
        <v>0</v>
      </c>
      <c r="N60" t="n">
        <v>0</v>
      </c>
      <c r="O60" t="n">
        <v>0</v>
      </c>
      <c r="P60" t="n">
        <v>0</v>
      </c>
      <c r="Q60" t="n">
        <v>0</v>
      </c>
      <c r="R60" t="n">
        <v>0</v>
      </c>
      <c r="S60" t="n">
        <v>0</v>
      </c>
      <c r="T60" t="n">
        <v>0</v>
      </c>
      <c r="U60" t="n">
        <v>0</v>
      </c>
      <c r="V60" s="2" t="inlineStr"/>
    </row>
    <row r="61" ht="15" customHeight="1">
      <c r="A61" t="inlineStr">
        <is>
          <t>A 17760-2025</t>
        </is>
      </c>
      <c r="B61" t="inlineStr">
        <is>
          <t>avverkningsanmälan</t>
        </is>
      </c>
      <c r="C61" t="inlineStr">
        <is>
          <t>Föryngringsavverkning</t>
        </is>
      </c>
      <c r="D61" s="1" t="n">
        <v>45758</v>
      </c>
      <c r="E61" s="1" t="n">
        <v>46322</v>
      </c>
      <c r="F61" t="inlineStr">
        <is>
          <t>SKÅNE LÄN</t>
        </is>
      </c>
      <c r="G61" t="inlineStr">
        <is>
          <t>TOMELILLA</t>
        </is>
      </c>
      <c r="I61" t="n">
        <v>3.7</v>
      </c>
      <c r="J61" t="n">
        <v>0</v>
      </c>
      <c r="K61" t="n">
        <v>0</v>
      </c>
      <c r="L61" t="n">
        <v>0</v>
      </c>
      <c r="M61" t="n">
        <v>0</v>
      </c>
      <c r="N61" t="n">
        <v>0</v>
      </c>
      <c r="O61" t="n">
        <v>0</v>
      </c>
      <c r="P61" t="n">
        <v>0</v>
      </c>
      <c r="Q61" t="n">
        <v>0</v>
      </c>
      <c r="R61" t="n">
        <v>0</v>
      </c>
      <c r="S61" t="n">
        <v>0</v>
      </c>
      <c r="T61" t="n">
        <v>0</v>
      </c>
      <c r="U61" t="n">
        <v>0</v>
      </c>
      <c r="V61" s="2" t="inlineStr"/>
    </row>
    <row r="62" ht="15" customHeight="1">
      <c r="A62" t="inlineStr">
        <is>
          <t>A 49913-2025</t>
        </is>
      </c>
      <c r="B62" t="inlineStr">
        <is>
          <t>avverkningsanmälan</t>
        </is>
      </c>
      <c r="C62" t="inlineStr">
        <is>
          <t>Avverkning för annat ändamål</t>
        </is>
      </c>
      <c r="D62" s="1" t="n">
        <v>45940</v>
      </c>
      <c r="E62" s="1" t="n">
        <v>46322</v>
      </c>
      <c r="F62" t="inlineStr">
        <is>
          <t>SKÅNE LÄN</t>
        </is>
      </c>
      <c r="G62" t="inlineStr">
        <is>
          <t>TOMELILLA</t>
        </is>
      </c>
      <c r="I62" t="n">
        <v>0.9</v>
      </c>
      <c r="J62" t="n">
        <v>0</v>
      </c>
      <c r="K62" t="n">
        <v>0</v>
      </c>
      <c r="L62" t="n">
        <v>0</v>
      </c>
      <c r="M62" t="n">
        <v>0</v>
      </c>
      <c r="N62" t="n">
        <v>0</v>
      </c>
      <c r="O62" t="n">
        <v>0</v>
      </c>
      <c r="P62" t="n">
        <v>0</v>
      </c>
      <c r="Q62" t="n">
        <v>0</v>
      </c>
      <c r="R62" t="n">
        <v>0</v>
      </c>
      <c r="S62" t="n">
        <v>0</v>
      </c>
      <c r="T62" t="n">
        <v>0</v>
      </c>
      <c r="U62" t="n">
        <v>0</v>
      </c>
      <c r="V62" s="2" t="inlineStr"/>
    </row>
    <row r="63" ht="15" customHeight="1">
      <c r="A63" t="inlineStr">
        <is>
          <t>A 8190-2024</t>
        </is>
      </c>
      <c r="B63" t="inlineStr">
        <is>
          <t>avverkningsanmälan</t>
        </is>
      </c>
      <c r="C63" t="inlineStr">
        <is>
          <t>Föryngringsavverkning</t>
        </is>
      </c>
      <c r="D63" s="1" t="n">
        <v>45338</v>
      </c>
      <c r="E63" s="1" t="n">
        <v>46322</v>
      </c>
      <c r="F63" t="inlineStr">
        <is>
          <t>SKÅNE LÄN</t>
        </is>
      </c>
      <c r="G63" t="inlineStr">
        <is>
          <t>TOMELILLA</t>
        </is>
      </c>
      <c r="H63" t="inlineStr">
        <is>
          <t>Kyrkan</t>
        </is>
      </c>
      <c r="I63" t="n">
        <v>3.6</v>
      </c>
      <c r="J63" t="n">
        <v>0</v>
      </c>
      <c r="K63" t="n">
        <v>0</v>
      </c>
      <c r="L63" t="n">
        <v>0</v>
      </c>
      <c r="M63" t="n">
        <v>0</v>
      </c>
      <c r="N63" t="n">
        <v>0</v>
      </c>
      <c r="O63" t="n">
        <v>0</v>
      </c>
      <c r="P63" t="n">
        <v>0</v>
      </c>
      <c r="Q63" t="n">
        <v>0</v>
      </c>
      <c r="R63" t="n">
        <v>0</v>
      </c>
      <c r="S63" t="n">
        <v>0</v>
      </c>
      <c r="T63" t="n">
        <v>0</v>
      </c>
      <c r="U63" t="n">
        <v>0</v>
      </c>
      <c r="V63" s="2" t="inlineStr"/>
    </row>
    <row r="64" ht="15" customHeight="1">
      <c r="A64" t="inlineStr">
        <is>
          <t>A 8192-2024</t>
        </is>
      </c>
      <c r="B64" t="inlineStr">
        <is>
          <t>avverkningsanmälan</t>
        </is>
      </c>
      <c r="C64" t="inlineStr">
        <is>
          <t>Föryngringsavverkning</t>
        </is>
      </c>
      <c r="D64" s="1" t="n">
        <v>45338</v>
      </c>
      <c r="E64" s="1" t="n">
        <v>46322</v>
      </c>
      <c r="F64" t="inlineStr">
        <is>
          <t>SKÅNE LÄN</t>
        </is>
      </c>
      <c r="G64" t="inlineStr">
        <is>
          <t>TOMELILLA</t>
        </is>
      </c>
      <c r="H64" t="inlineStr">
        <is>
          <t>Kyrkan</t>
        </is>
      </c>
      <c r="I64" t="n">
        <v>1.5</v>
      </c>
      <c r="J64" t="n">
        <v>0</v>
      </c>
      <c r="K64" t="n">
        <v>0</v>
      </c>
      <c r="L64" t="n">
        <v>0</v>
      </c>
      <c r="M64" t="n">
        <v>0</v>
      </c>
      <c r="N64" t="n">
        <v>0</v>
      </c>
      <c r="O64" t="n">
        <v>0</v>
      </c>
      <c r="P64" t="n">
        <v>0</v>
      </c>
      <c r="Q64" t="n">
        <v>0</v>
      </c>
      <c r="R64" t="n">
        <v>0</v>
      </c>
      <c r="S64" t="n">
        <v>0</v>
      </c>
      <c r="T64" t="n">
        <v>0</v>
      </c>
      <c r="U64" t="n">
        <v>0</v>
      </c>
      <c r="V64" s="2" t="inlineStr"/>
    </row>
    <row r="65" ht="15" customHeight="1">
      <c r="A65" t="inlineStr">
        <is>
          <t>A 45729-2024</t>
        </is>
      </c>
      <c r="B65" t="inlineStr">
        <is>
          <t>avverkningsanmälan</t>
        </is>
      </c>
      <c r="C65" t="inlineStr">
        <is>
          <t>Föryngringsavverkning</t>
        </is>
      </c>
      <c r="D65" s="1" t="n">
        <v>45579</v>
      </c>
      <c r="E65" s="1" t="n">
        <v>46322</v>
      </c>
      <c r="F65" t="inlineStr">
        <is>
          <t>SKÅNE LÄN</t>
        </is>
      </c>
      <c r="G65" t="inlineStr">
        <is>
          <t>TOMELILLA</t>
        </is>
      </c>
      <c r="I65" t="n">
        <v>10.1</v>
      </c>
      <c r="J65" t="n">
        <v>0</v>
      </c>
      <c r="K65" t="n">
        <v>0</v>
      </c>
      <c r="L65" t="n">
        <v>0</v>
      </c>
      <c r="M65" t="n">
        <v>0</v>
      </c>
      <c r="N65" t="n">
        <v>0</v>
      </c>
      <c r="O65" t="n">
        <v>0</v>
      </c>
      <c r="P65" t="n">
        <v>0</v>
      </c>
      <c r="Q65" t="n">
        <v>0</v>
      </c>
      <c r="R65" t="n">
        <v>0</v>
      </c>
      <c r="S65" t="n">
        <v>0</v>
      </c>
      <c r="T65" t="n">
        <v>0</v>
      </c>
      <c r="U65" t="n">
        <v>0</v>
      </c>
      <c r="V65" s="2" t="inlineStr"/>
    </row>
    <row r="66" ht="15" customHeight="1">
      <c r="A66" t="inlineStr">
        <is>
          <t>A 47231-2023</t>
        </is>
      </c>
      <c r="B66" t="inlineStr">
        <is>
          <t>avverkningsanmälan</t>
        </is>
      </c>
      <c r="C66" t="inlineStr">
        <is>
          <t>Föryngringsavverkning</t>
        </is>
      </c>
      <c r="D66" s="1" t="n">
        <v>45202</v>
      </c>
      <c r="E66" s="1" t="n">
        <v>46322</v>
      </c>
      <c r="F66" t="inlineStr">
        <is>
          <t>SKÅNE LÄN</t>
        </is>
      </c>
      <c r="G66" t="inlineStr">
        <is>
          <t>TOMELILLA</t>
        </is>
      </c>
      <c r="I66" t="n">
        <v>1.3</v>
      </c>
      <c r="J66" t="n">
        <v>0</v>
      </c>
      <c r="K66" t="n">
        <v>0</v>
      </c>
      <c r="L66" t="n">
        <v>0</v>
      </c>
      <c r="M66" t="n">
        <v>0</v>
      </c>
      <c r="N66" t="n">
        <v>0</v>
      </c>
      <c r="O66" t="n">
        <v>0</v>
      </c>
      <c r="P66" t="n">
        <v>0</v>
      </c>
      <c r="Q66" t="n">
        <v>0</v>
      </c>
      <c r="R66" t="n">
        <v>0</v>
      </c>
      <c r="S66" t="n">
        <v>0</v>
      </c>
      <c r="T66" t="n">
        <v>0</v>
      </c>
      <c r="U66" t="n">
        <v>0</v>
      </c>
      <c r="V66" s="2" t="inlineStr"/>
    </row>
    <row r="67" ht="15" customHeight="1">
      <c r="A67" t="inlineStr">
        <is>
          <t>A 38787-2024</t>
        </is>
      </c>
      <c r="B67" t="inlineStr">
        <is>
          <t>avverkningsanmälan</t>
        </is>
      </c>
      <c r="C67" t="inlineStr">
        <is>
          <t>Föryngringsavverkning</t>
        </is>
      </c>
      <c r="D67" s="1" t="n">
        <v>45547</v>
      </c>
      <c r="E67" s="1" t="n">
        <v>46322</v>
      </c>
      <c r="F67" t="inlineStr">
        <is>
          <t>SKÅNE LÄN</t>
        </is>
      </c>
      <c r="G67" t="inlineStr">
        <is>
          <t>TOMELILLA</t>
        </is>
      </c>
      <c r="I67" t="n">
        <v>1.1</v>
      </c>
      <c r="J67" t="n">
        <v>0</v>
      </c>
      <c r="K67" t="n">
        <v>0</v>
      </c>
      <c r="L67" t="n">
        <v>0</v>
      </c>
      <c r="M67" t="n">
        <v>0</v>
      </c>
      <c r="N67" t="n">
        <v>0</v>
      </c>
      <c r="O67" t="n">
        <v>0</v>
      </c>
      <c r="P67" t="n">
        <v>0</v>
      </c>
      <c r="Q67" t="n">
        <v>0</v>
      </c>
      <c r="R67" t="n">
        <v>0</v>
      </c>
      <c r="S67" t="n">
        <v>0</v>
      </c>
      <c r="T67" t="n">
        <v>0</v>
      </c>
      <c r="U67" t="n">
        <v>0</v>
      </c>
      <c r="V67" s="2" t="inlineStr"/>
    </row>
    <row r="68" ht="15" customHeight="1">
      <c r="A68" t="inlineStr">
        <is>
          <t>A 28966-2022</t>
        </is>
      </c>
      <c r="B68" t="inlineStr">
        <is>
          <t>avverkningsanmälan</t>
        </is>
      </c>
      <c r="C68" t="inlineStr">
        <is>
          <t>Avverkning för annat ändamål</t>
        </is>
      </c>
      <c r="D68" s="1" t="n">
        <v>44749</v>
      </c>
      <c r="E68" s="1" t="n">
        <v>46322</v>
      </c>
      <c r="F68" t="inlineStr">
        <is>
          <t>SKÅNE LÄN</t>
        </is>
      </c>
      <c r="G68" t="inlineStr">
        <is>
          <t>TOMELILLA</t>
        </is>
      </c>
      <c r="I68" t="n">
        <v>3.2</v>
      </c>
      <c r="J68" t="n">
        <v>0</v>
      </c>
      <c r="K68" t="n">
        <v>0</v>
      </c>
      <c r="L68" t="n">
        <v>0</v>
      </c>
      <c r="M68" t="n">
        <v>0</v>
      </c>
      <c r="N68" t="n">
        <v>0</v>
      </c>
      <c r="O68" t="n">
        <v>0</v>
      </c>
      <c r="P68" t="n">
        <v>0</v>
      </c>
      <c r="Q68" t="n">
        <v>0</v>
      </c>
      <c r="R68" t="n">
        <v>0</v>
      </c>
      <c r="S68" t="n">
        <v>0</v>
      </c>
      <c r="T68" t="n">
        <v>0</v>
      </c>
      <c r="U68" t="n">
        <v>0</v>
      </c>
      <c r="V68" s="2" t="inlineStr"/>
    </row>
    <row r="69" ht="15" customHeight="1">
      <c r="A69" t="inlineStr">
        <is>
          <t>A 578-2024</t>
        </is>
      </c>
      <c r="B69" t="inlineStr">
        <is>
          <t>avverkningsanmälan</t>
        </is>
      </c>
      <c r="C69" t="inlineStr">
        <is>
          <t>Föryngringsavverkning</t>
        </is>
      </c>
      <c r="D69" s="1" t="n">
        <v>45299</v>
      </c>
      <c r="E69" s="1" t="n">
        <v>46322</v>
      </c>
      <c r="F69" t="inlineStr">
        <is>
          <t>SKÅNE LÄN</t>
        </is>
      </c>
      <c r="G69" t="inlineStr">
        <is>
          <t>TOMELILLA</t>
        </is>
      </c>
      <c r="H69" t="inlineStr">
        <is>
          <t>Övriga Aktiebolag</t>
        </is>
      </c>
      <c r="I69" t="n">
        <v>67.40000000000001</v>
      </c>
      <c r="J69" t="n">
        <v>0</v>
      </c>
      <c r="K69" t="n">
        <v>0</v>
      </c>
      <c r="L69" t="n">
        <v>0</v>
      </c>
      <c r="M69" t="n">
        <v>0</v>
      </c>
      <c r="N69" t="n">
        <v>0</v>
      </c>
      <c r="O69" t="n">
        <v>0</v>
      </c>
      <c r="P69" t="n">
        <v>0</v>
      </c>
      <c r="Q69" t="n">
        <v>0</v>
      </c>
      <c r="R69" t="n">
        <v>0</v>
      </c>
      <c r="S69" t="n">
        <v>0</v>
      </c>
      <c r="T69" t="n">
        <v>0</v>
      </c>
      <c r="U69" t="n">
        <v>0</v>
      </c>
      <c r="V69" s="2" t="inlineStr"/>
    </row>
    <row r="70" ht="15" customHeight="1">
      <c r="A70" t="inlineStr">
        <is>
          <t>A 6357-2024</t>
        </is>
      </c>
      <c r="B70" t="inlineStr">
        <is>
          <t>avverkningsanmälan</t>
        </is>
      </c>
      <c r="C70" t="inlineStr">
        <is>
          <t>Föryngringsavverkning</t>
        </is>
      </c>
      <c r="D70" s="1" t="n">
        <v>45338</v>
      </c>
      <c r="E70" s="1" t="n">
        <v>46322</v>
      </c>
      <c r="F70" t="inlineStr">
        <is>
          <t>SKÅNE LÄN</t>
        </is>
      </c>
      <c r="G70" t="inlineStr">
        <is>
          <t>TOMELILLA</t>
        </is>
      </c>
      <c r="H70" t="inlineStr">
        <is>
          <t>Kyrkan</t>
        </is>
      </c>
      <c r="I70" t="n">
        <v>0.6</v>
      </c>
      <c r="J70" t="n">
        <v>0</v>
      </c>
      <c r="K70" t="n">
        <v>0</v>
      </c>
      <c r="L70" t="n">
        <v>0</v>
      </c>
      <c r="M70" t="n">
        <v>0</v>
      </c>
      <c r="N70" t="n">
        <v>0</v>
      </c>
      <c r="O70" t="n">
        <v>0</v>
      </c>
      <c r="P70" t="n">
        <v>0</v>
      </c>
      <c r="Q70" t="n">
        <v>0</v>
      </c>
      <c r="R70" t="n">
        <v>0</v>
      </c>
      <c r="S70" t="n">
        <v>0</v>
      </c>
      <c r="T70" t="n">
        <v>0</v>
      </c>
      <c r="U70" t="n">
        <v>0</v>
      </c>
      <c r="V70" s="2" t="inlineStr"/>
    </row>
    <row r="71" ht="15" customHeight="1">
      <c r="A71" t="inlineStr">
        <is>
          <t>A 23621-2026</t>
        </is>
      </c>
      <c r="B71" t="inlineStr">
        <is>
          <t>avverkningsanmälan</t>
        </is>
      </c>
      <c r="C71" t="inlineStr">
        <is>
          <t>Föryngringsavverkning</t>
        </is>
      </c>
      <c r="D71" s="1" t="n">
        <v>46162</v>
      </c>
      <c r="E71" s="1" t="n">
        <v>46322</v>
      </c>
      <c r="F71" t="inlineStr">
        <is>
          <t>SKÅNE LÄN</t>
        </is>
      </c>
      <c r="G71" t="inlineStr">
        <is>
          <t>TOMELILLA</t>
        </is>
      </c>
      <c r="I71" t="n">
        <v>3.8</v>
      </c>
      <c r="J71" t="n">
        <v>0</v>
      </c>
      <c r="K71" t="n">
        <v>0</v>
      </c>
      <c r="L71" t="n">
        <v>0</v>
      </c>
      <c r="M71" t="n">
        <v>0</v>
      </c>
      <c r="N71" t="n">
        <v>0</v>
      </c>
      <c r="O71" t="n">
        <v>0</v>
      </c>
      <c r="P71" t="n">
        <v>0</v>
      </c>
      <c r="Q71" t="n">
        <v>0</v>
      </c>
      <c r="R71" t="n">
        <v>0</v>
      </c>
      <c r="S71" t="n">
        <v>0</v>
      </c>
      <c r="T71" t="n">
        <v>0</v>
      </c>
      <c r="U71" t="n">
        <v>0</v>
      </c>
      <c r="V71" s="2" t="inlineStr"/>
    </row>
    <row r="72" ht="15" customHeight="1">
      <c r="A72" t="inlineStr">
        <is>
          <t>A 23813-2024</t>
        </is>
      </c>
      <c r="B72" t="inlineStr">
        <is>
          <t>avverkningsanmälan</t>
        </is>
      </c>
      <c r="C72" t="inlineStr">
        <is>
          <t>Föryngringsavverkning</t>
        </is>
      </c>
      <c r="D72" s="1" t="n">
        <v>45455</v>
      </c>
      <c r="E72" s="1" t="n">
        <v>46322</v>
      </c>
      <c r="F72" t="inlineStr">
        <is>
          <t>SKÅNE LÄN</t>
        </is>
      </c>
      <c r="G72" t="inlineStr">
        <is>
          <t>TOMELILLA</t>
        </is>
      </c>
      <c r="I72" t="n">
        <v>2</v>
      </c>
      <c r="J72" t="n">
        <v>0</v>
      </c>
      <c r="K72" t="n">
        <v>0</v>
      </c>
      <c r="L72" t="n">
        <v>0</v>
      </c>
      <c r="M72" t="n">
        <v>0</v>
      </c>
      <c r="N72" t="n">
        <v>0</v>
      </c>
      <c r="O72" t="n">
        <v>0</v>
      </c>
      <c r="P72" t="n">
        <v>0</v>
      </c>
      <c r="Q72" t="n">
        <v>0</v>
      </c>
      <c r="R72" t="n">
        <v>0</v>
      </c>
      <c r="S72" t="n">
        <v>0</v>
      </c>
      <c r="T72" t="n">
        <v>0</v>
      </c>
      <c r="U72" t="n">
        <v>0</v>
      </c>
      <c r="V72" s="2" t="inlineStr"/>
    </row>
    <row r="73" ht="15" customHeight="1">
      <c r="A73" t="inlineStr">
        <is>
          <t>A 11811-2025</t>
        </is>
      </c>
      <c r="B73" t="inlineStr">
        <is>
          <t>avverkningsanmälan</t>
        </is>
      </c>
      <c r="C73" t="inlineStr">
        <is>
          <t>Föryngringsavverkning</t>
        </is>
      </c>
      <c r="D73" s="1" t="n">
        <v>45727</v>
      </c>
      <c r="E73" s="1" t="n">
        <v>46322</v>
      </c>
      <c r="F73" t="inlineStr">
        <is>
          <t>SKÅNE LÄN</t>
        </is>
      </c>
      <c r="G73" t="inlineStr">
        <is>
          <t>TOMELILLA</t>
        </is>
      </c>
      <c r="I73" t="n">
        <v>9.699999999999999</v>
      </c>
      <c r="J73" t="n">
        <v>0</v>
      </c>
      <c r="K73" t="n">
        <v>0</v>
      </c>
      <c r="L73" t="n">
        <v>0</v>
      </c>
      <c r="M73" t="n">
        <v>0</v>
      </c>
      <c r="N73" t="n">
        <v>0</v>
      </c>
      <c r="O73" t="n">
        <v>0</v>
      </c>
      <c r="P73" t="n">
        <v>0</v>
      </c>
      <c r="Q73" t="n">
        <v>0</v>
      </c>
      <c r="R73" t="n">
        <v>0</v>
      </c>
      <c r="S73" t="n">
        <v>0</v>
      </c>
      <c r="T73" t="n">
        <v>0</v>
      </c>
      <c r="U73" t="n">
        <v>0</v>
      </c>
      <c r="V73" s="2" t="inlineStr"/>
    </row>
    <row r="74" ht="15" customHeight="1">
      <c r="A74" t="inlineStr">
        <is>
          <t>A 19454-2024</t>
        </is>
      </c>
      <c r="B74" t="inlineStr">
        <is>
          <t>avverkningsanmälan</t>
        </is>
      </c>
      <c r="C74" t="inlineStr">
        <is>
          <t>Föryngringsavverkning</t>
        </is>
      </c>
      <c r="D74" s="1" t="n">
        <v>45429</v>
      </c>
      <c r="E74" s="1" t="n">
        <v>46322</v>
      </c>
      <c r="F74" t="inlineStr">
        <is>
          <t>SKÅNE LÄN</t>
        </is>
      </c>
      <c r="G74" t="inlineStr">
        <is>
          <t>TOMELILLA</t>
        </is>
      </c>
      <c r="I74" t="n">
        <v>2.1</v>
      </c>
      <c r="J74" t="n">
        <v>0</v>
      </c>
      <c r="K74" t="n">
        <v>0</v>
      </c>
      <c r="L74" t="n">
        <v>0</v>
      </c>
      <c r="M74" t="n">
        <v>0</v>
      </c>
      <c r="N74" t="n">
        <v>0</v>
      </c>
      <c r="O74" t="n">
        <v>0</v>
      </c>
      <c r="P74" t="n">
        <v>0</v>
      </c>
      <c r="Q74" t="n">
        <v>0</v>
      </c>
      <c r="R74" t="n">
        <v>0</v>
      </c>
      <c r="S74" t="n">
        <v>0</v>
      </c>
      <c r="T74" t="n">
        <v>0</v>
      </c>
      <c r="U74" t="n">
        <v>0</v>
      </c>
      <c r="V74" s="2" t="inlineStr"/>
    </row>
    <row r="75" ht="15" customHeight="1">
      <c r="A75" t="inlineStr">
        <is>
          <t>A 59528-2022</t>
        </is>
      </c>
      <c r="B75" t="inlineStr">
        <is>
          <t>avverkningsanmälan</t>
        </is>
      </c>
      <c r="C75" t="inlineStr">
        <is>
          <t>Föryngringsavverkning</t>
        </is>
      </c>
      <c r="D75" s="1" t="n">
        <v>44907</v>
      </c>
      <c r="E75" s="1" t="n">
        <v>46322</v>
      </c>
      <c r="F75" t="inlineStr">
        <is>
          <t>SKÅNE LÄN</t>
        </is>
      </c>
      <c r="G75" t="inlineStr">
        <is>
          <t>TOMELILLA</t>
        </is>
      </c>
      <c r="H75" t="inlineStr">
        <is>
          <t>Övriga Aktiebolag</t>
        </is>
      </c>
      <c r="I75" t="n">
        <v>3.8</v>
      </c>
      <c r="J75" t="n">
        <v>0</v>
      </c>
      <c r="K75" t="n">
        <v>0</v>
      </c>
      <c r="L75" t="n">
        <v>0</v>
      </c>
      <c r="M75" t="n">
        <v>0</v>
      </c>
      <c r="N75" t="n">
        <v>0</v>
      </c>
      <c r="O75" t="n">
        <v>0</v>
      </c>
      <c r="P75" t="n">
        <v>0</v>
      </c>
      <c r="Q75" t="n">
        <v>0</v>
      </c>
      <c r="R75" t="n">
        <v>0</v>
      </c>
      <c r="S75" t="n">
        <v>0</v>
      </c>
      <c r="T75" t="n">
        <v>0</v>
      </c>
      <c r="U75" t="n">
        <v>0</v>
      </c>
      <c r="V75" s="2" t="inlineStr"/>
    </row>
    <row r="76" ht="15" customHeight="1">
      <c r="A76" t="inlineStr">
        <is>
          <t>A 30673-2023</t>
        </is>
      </c>
      <c r="B76" t="inlineStr">
        <is>
          <t>avverkningsanmälan</t>
        </is>
      </c>
      <c r="C76" t="inlineStr">
        <is>
          <t>Föryngringsavverkning</t>
        </is>
      </c>
      <c r="D76" s="1" t="n">
        <v>45112</v>
      </c>
      <c r="E76" s="1" t="n">
        <v>46322</v>
      </c>
      <c r="F76" t="inlineStr">
        <is>
          <t>SKÅNE LÄN</t>
        </is>
      </c>
      <c r="G76" t="inlineStr">
        <is>
          <t>TOMELILLA</t>
        </is>
      </c>
      <c r="H76" t="inlineStr">
        <is>
          <t>Övriga Aktiebolag</t>
        </is>
      </c>
      <c r="I76" t="n">
        <v>2.4</v>
      </c>
      <c r="J76" t="n">
        <v>0</v>
      </c>
      <c r="K76" t="n">
        <v>0</v>
      </c>
      <c r="L76" t="n">
        <v>0</v>
      </c>
      <c r="M76" t="n">
        <v>0</v>
      </c>
      <c r="N76" t="n">
        <v>0</v>
      </c>
      <c r="O76" t="n">
        <v>0</v>
      </c>
      <c r="P76" t="n">
        <v>0</v>
      </c>
      <c r="Q76" t="n">
        <v>0</v>
      </c>
      <c r="R76" t="n">
        <v>0</v>
      </c>
      <c r="S76" t="n">
        <v>0</v>
      </c>
      <c r="T76" t="n">
        <v>0</v>
      </c>
      <c r="U76" t="n">
        <v>0</v>
      </c>
      <c r="V76" s="2" t="inlineStr"/>
    </row>
    <row r="77" ht="15" customHeight="1">
      <c r="A77" t="inlineStr">
        <is>
          <t>A 35792-2025</t>
        </is>
      </c>
      <c r="B77" t="inlineStr">
        <is>
          <t>avverkningsanmälan</t>
        </is>
      </c>
      <c r="C77" t="inlineStr">
        <is>
          <t>Föryngringsavverkning</t>
        </is>
      </c>
      <c r="D77" s="1" t="n">
        <v>45861</v>
      </c>
      <c r="E77" s="1" t="n">
        <v>46322</v>
      </c>
      <c r="F77" t="inlineStr">
        <is>
          <t>SKÅNE LÄN</t>
        </is>
      </c>
      <c r="G77" t="inlineStr">
        <is>
          <t>TOMELILLA</t>
        </is>
      </c>
      <c r="H77" t="inlineStr">
        <is>
          <t>Övriga Aktiebolag</t>
        </is>
      </c>
      <c r="I77" t="n">
        <v>1.3</v>
      </c>
      <c r="J77" t="n">
        <v>0</v>
      </c>
      <c r="K77" t="n">
        <v>0</v>
      </c>
      <c r="L77" t="n">
        <v>0</v>
      </c>
      <c r="M77" t="n">
        <v>0</v>
      </c>
      <c r="N77" t="n">
        <v>0</v>
      </c>
      <c r="O77" t="n">
        <v>0</v>
      </c>
      <c r="P77" t="n">
        <v>0</v>
      </c>
      <c r="Q77" t="n">
        <v>0</v>
      </c>
      <c r="R77" t="n">
        <v>0</v>
      </c>
      <c r="S77" t="n">
        <v>0</v>
      </c>
      <c r="T77" t="n">
        <v>0</v>
      </c>
      <c r="U77" t="n">
        <v>0</v>
      </c>
      <c r="V77" s="2" t="inlineStr"/>
    </row>
    <row r="78" ht="15" customHeight="1">
      <c r="A78" t="inlineStr">
        <is>
          <t>A 1199-2024</t>
        </is>
      </c>
      <c r="B78" t="inlineStr">
        <is>
          <t>avverkningsanmälan</t>
        </is>
      </c>
      <c r="C78" t="inlineStr">
        <is>
          <t>Föryngringsavverkning</t>
        </is>
      </c>
      <c r="D78" s="1" t="n">
        <v>45302</v>
      </c>
      <c r="E78" s="1" t="n">
        <v>46322</v>
      </c>
      <c r="F78" t="inlineStr">
        <is>
          <t>SKÅNE LÄN</t>
        </is>
      </c>
      <c r="G78" t="inlineStr">
        <is>
          <t>TOMELILLA</t>
        </is>
      </c>
      <c r="H78" t="inlineStr">
        <is>
          <t>Övriga Aktiebolag</t>
        </is>
      </c>
      <c r="I78" t="n">
        <v>16.1</v>
      </c>
      <c r="J78" t="n">
        <v>0</v>
      </c>
      <c r="K78" t="n">
        <v>0</v>
      </c>
      <c r="L78" t="n">
        <v>0</v>
      </c>
      <c r="M78" t="n">
        <v>0</v>
      </c>
      <c r="N78" t="n">
        <v>0</v>
      </c>
      <c r="O78" t="n">
        <v>0</v>
      </c>
      <c r="P78" t="n">
        <v>0</v>
      </c>
      <c r="Q78" t="n">
        <v>0</v>
      </c>
      <c r="R78" t="n">
        <v>0</v>
      </c>
      <c r="S78" t="n">
        <v>0</v>
      </c>
      <c r="T78" t="n">
        <v>0</v>
      </c>
      <c r="U78" t="n">
        <v>0</v>
      </c>
      <c r="V78" s="2" t="inlineStr"/>
    </row>
    <row r="79" ht="15" customHeight="1">
      <c r="A79" t="inlineStr">
        <is>
          <t>A 35971-2025</t>
        </is>
      </c>
      <c r="B79" t="inlineStr">
        <is>
          <t>avverkningsanmälan</t>
        </is>
      </c>
      <c r="C79" t="inlineStr">
        <is>
          <t>Föryngringsavverkning</t>
        </is>
      </c>
      <c r="D79" s="1" t="n">
        <v>45863</v>
      </c>
      <c r="E79" s="1" t="n">
        <v>46322</v>
      </c>
      <c r="F79" t="inlineStr">
        <is>
          <t>SKÅNE LÄN</t>
        </is>
      </c>
      <c r="G79" t="inlineStr">
        <is>
          <t>TOMELILLA</t>
        </is>
      </c>
      <c r="I79" t="n">
        <v>1.2</v>
      </c>
      <c r="J79" t="n">
        <v>0</v>
      </c>
      <c r="K79" t="n">
        <v>0</v>
      </c>
      <c r="L79" t="n">
        <v>0</v>
      </c>
      <c r="M79" t="n">
        <v>0</v>
      </c>
      <c r="N79" t="n">
        <v>0</v>
      </c>
      <c r="O79" t="n">
        <v>0</v>
      </c>
      <c r="P79" t="n">
        <v>0</v>
      </c>
      <c r="Q79" t="n">
        <v>0</v>
      </c>
      <c r="R79" t="n">
        <v>0</v>
      </c>
      <c r="S79" t="n">
        <v>0</v>
      </c>
      <c r="T79" t="n">
        <v>0</v>
      </c>
      <c r="U79" t="n">
        <v>0</v>
      </c>
      <c r="V79" s="2" t="inlineStr"/>
    </row>
    <row r="80" ht="15" customHeight="1">
      <c r="A80" t="inlineStr">
        <is>
          <t>A 4018-2024</t>
        </is>
      </c>
      <c r="B80" t="inlineStr">
        <is>
          <t>avverkningsanmälan</t>
        </is>
      </c>
      <c r="C80" t="inlineStr">
        <is>
          <t>Föryngringsavverkning</t>
        </is>
      </c>
      <c r="D80" s="1" t="n">
        <v>45323</v>
      </c>
      <c r="E80" s="1" t="n">
        <v>46322</v>
      </c>
      <c r="F80" t="inlineStr">
        <is>
          <t>SKÅNE LÄN</t>
        </is>
      </c>
      <c r="G80" t="inlineStr">
        <is>
          <t>TOMELILLA</t>
        </is>
      </c>
      <c r="H80" t="inlineStr">
        <is>
          <t>Övriga Aktiebolag</t>
        </is>
      </c>
      <c r="I80" t="n">
        <v>3.5</v>
      </c>
      <c r="J80" t="n">
        <v>0</v>
      </c>
      <c r="K80" t="n">
        <v>0</v>
      </c>
      <c r="L80" t="n">
        <v>0</v>
      </c>
      <c r="M80" t="n">
        <v>0</v>
      </c>
      <c r="N80" t="n">
        <v>0</v>
      </c>
      <c r="O80" t="n">
        <v>0</v>
      </c>
      <c r="P80" t="n">
        <v>0</v>
      </c>
      <c r="Q80" t="n">
        <v>0</v>
      </c>
      <c r="R80" t="n">
        <v>0</v>
      </c>
      <c r="S80" t="n">
        <v>0</v>
      </c>
      <c r="T80" t="n">
        <v>0</v>
      </c>
      <c r="U80" t="n">
        <v>0</v>
      </c>
      <c r="V80" s="2" t="inlineStr"/>
    </row>
    <row r="81" ht="15" customHeight="1">
      <c r="A81" t="inlineStr">
        <is>
          <t>A 24987-2026</t>
        </is>
      </c>
      <c r="B81" t="inlineStr">
        <is>
          <t>avverkningsanmälan</t>
        </is>
      </c>
      <c r="C81" t="inlineStr">
        <is>
          <t>Föryngringsavverkning</t>
        </is>
      </c>
      <c r="D81" s="1" t="n">
        <v>46174</v>
      </c>
      <c r="E81" s="1" t="n">
        <v>46322</v>
      </c>
      <c r="F81" t="inlineStr">
        <is>
          <t>SKÅNE LÄN</t>
        </is>
      </c>
      <c r="G81" t="inlineStr">
        <is>
          <t>TOMELILLA</t>
        </is>
      </c>
      <c r="I81" t="n">
        <v>0.8</v>
      </c>
      <c r="J81" t="n">
        <v>0</v>
      </c>
      <c r="K81" t="n">
        <v>0</v>
      </c>
      <c r="L81" t="n">
        <v>0</v>
      </c>
      <c r="M81" t="n">
        <v>0</v>
      </c>
      <c r="N81" t="n">
        <v>0</v>
      </c>
      <c r="O81" t="n">
        <v>0</v>
      </c>
      <c r="P81" t="n">
        <v>0</v>
      </c>
      <c r="Q81" t="n">
        <v>0</v>
      </c>
      <c r="R81" t="n">
        <v>0</v>
      </c>
      <c r="S81" t="n">
        <v>0</v>
      </c>
      <c r="T81" t="n">
        <v>0</v>
      </c>
      <c r="U81" t="n">
        <v>0</v>
      </c>
      <c r="V81" s="2" t="inlineStr"/>
    </row>
    <row r="82" ht="15" customHeight="1">
      <c r="A82" t="inlineStr">
        <is>
          <t>A 49815-2025</t>
        </is>
      </c>
      <c r="B82" t="inlineStr">
        <is>
          <t>avverkningsanmälan</t>
        </is>
      </c>
      <c r="C82" t="inlineStr">
        <is>
          <t>Föryngringsavverkning</t>
        </is>
      </c>
      <c r="D82" s="1" t="n">
        <v>45940</v>
      </c>
      <c r="E82" s="1" t="n">
        <v>46322</v>
      </c>
      <c r="F82" t="inlineStr">
        <is>
          <t>SKÅNE LÄN</t>
        </is>
      </c>
      <c r="G82" t="inlineStr">
        <is>
          <t>TOMELILLA</t>
        </is>
      </c>
      <c r="I82" t="n">
        <v>0.6</v>
      </c>
      <c r="J82" t="n">
        <v>0</v>
      </c>
      <c r="K82" t="n">
        <v>0</v>
      </c>
      <c r="L82" t="n">
        <v>0</v>
      </c>
      <c r="M82" t="n">
        <v>0</v>
      </c>
      <c r="N82" t="n">
        <v>0</v>
      </c>
      <c r="O82" t="n">
        <v>0</v>
      </c>
      <c r="P82" t="n">
        <v>0</v>
      </c>
      <c r="Q82" t="n">
        <v>0</v>
      </c>
      <c r="R82" t="n">
        <v>0</v>
      </c>
      <c r="S82" t="n">
        <v>0</v>
      </c>
      <c r="T82" t="n">
        <v>0</v>
      </c>
      <c r="U82" t="n">
        <v>0</v>
      </c>
      <c r="V82" s="2" t="inlineStr"/>
    </row>
    <row r="83" ht="15" customHeight="1">
      <c r="A83" t="inlineStr">
        <is>
          <t>A 4969-2026</t>
        </is>
      </c>
      <c r="B83" t="inlineStr">
        <is>
          <t>avverkningsanmälan</t>
        </is>
      </c>
      <c r="C83" t="inlineStr">
        <is>
          <t>Föryngringsavverkning</t>
        </is>
      </c>
      <c r="D83" s="1" t="n">
        <v>46049</v>
      </c>
      <c r="E83" s="1" t="n">
        <v>46322</v>
      </c>
      <c r="F83" t="inlineStr">
        <is>
          <t>SKÅNE LÄN</t>
        </is>
      </c>
      <c r="G83" t="inlineStr">
        <is>
          <t>TOMELILLA</t>
        </is>
      </c>
      <c r="H83" t="inlineStr">
        <is>
          <t>Övriga Aktiebolag</t>
        </is>
      </c>
      <c r="I83" t="n">
        <v>2.6</v>
      </c>
      <c r="J83" t="n">
        <v>0</v>
      </c>
      <c r="K83" t="n">
        <v>0</v>
      </c>
      <c r="L83" t="n">
        <v>0</v>
      </c>
      <c r="M83" t="n">
        <v>0</v>
      </c>
      <c r="N83" t="n">
        <v>0</v>
      </c>
      <c r="O83" t="n">
        <v>0</v>
      </c>
      <c r="P83" t="n">
        <v>0</v>
      </c>
      <c r="Q83" t="n">
        <v>0</v>
      </c>
      <c r="R83" t="n">
        <v>0</v>
      </c>
      <c r="S83" t="n">
        <v>0</v>
      </c>
      <c r="T83" t="n">
        <v>0</v>
      </c>
      <c r="U83" t="n">
        <v>0</v>
      </c>
      <c r="V83" s="2" t="inlineStr"/>
    </row>
    <row r="84" ht="15" customHeight="1">
      <c r="A84" t="inlineStr">
        <is>
          <t>A 6259-2024</t>
        </is>
      </c>
      <c r="B84" t="inlineStr">
        <is>
          <t>avverkningsanmälan</t>
        </is>
      </c>
      <c r="C84" t="inlineStr">
        <is>
          <t>Föryngringsavverkning</t>
        </is>
      </c>
      <c r="D84" s="1" t="n">
        <v>45337</v>
      </c>
      <c r="E84" s="1" t="n">
        <v>46322</v>
      </c>
      <c r="F84" t="inlineStr">
        <is>
          <t>SKÅNE LÄN</t>
        </is>
      </c>
      <c r="G84" t="inlineStr">
        <is>
          <t>TOMELILLA</t>
        </is>
      </c>
      <c r="I84" t="n">
        <v>5</v>
      </c>
      <c r="J84" t="n">
        <v>0</v>
      </c>
      <c r="K84" t="n">
        <v>0</v>
      </c>
      <c r="L84" t="n">
        <v>0</v>
      </c>
      <c r="M84" t="n">
        <v>0</v>
      </c>
      <c r="N84" t="n">
        <v>0</v>
      </c>
      <c r="O84" t="n">
        <v>0</v>
      </c>
      <c r="P84" t="n">
        <v>0</v>
      </c>
      <c r="Q84" t="n">
        <v>0</v>
      </c>
      <c r="R84" t="n">
        <v>0</v>
      </c>
      <c r="S84" t="n">
        <v>0</v>
      </c>
      <c r="T84" t="n">
        <v>0</v>
      </c>
      <c r="U84" t="n">
        <v>0</v>
      </c>
      <c r="V84" s="2" t="inlineStr"/>
    </row>
    <row r="85" ht="15" customHeight="1">
      <c r="A85" t="inlineStr">
        <is>
          <t>A 6316-2024</t>
        </is>
      </c>
      <c r="B85" t="inlineStr">
        <is>
          <t>avverkningsanmälan</t>
        </is>
      </c>
      <c r="C85" t="inlineStr">
        <is>
          <t>Föryngringsavverkning</t>
        </is>
      </c>
      <c r="D85" s="1" t="n">
        <v>45338</v>
      </c>
      <c r="E85" s="1" t="n">
        <v>46322</v>
      </c>
      <c r="F85" t="inlineStr">
        <is>
          <t>SKÅNE LÄN</t>
        </is>
      </c>
      <c r="G85" t="inlineStr">
        <is>
          <t>TOMELILLA</t>
        </is>
      </c>
      <c r="H85" t="inlineStr">
        <is>
          <t>Övriga Aktiebolag</t>
        </is>
      </c>
      <c r="I85" t="n">
        <v>28.6</v>
      </c>
      <c r="J85" t="n">
        <v>0</v>
      </c>
      <c r="K85" t="n">
        <v>0</v>
      </c>
      <c r="L85" t="n">
        <v>0</v>
      </c>
      <c r="M85" t="n">
        <v>0</v>
      </c>
      <c r="N85" t="n">
        <v>0</v>
      </c>
      <c r="O85" t="n">
        <v>0</v>
      </c>
      <c r="P85" t="n">
        <v>0</v>
      </c>
      <c r="Q85" t="n">
        <v>0</v>
      </c>
      <c r="R85" t="n">
        <v>0</v>
      </c>
      <c r="S85" t="n">
        <v>0</v>
      </c>
      <c r="T85" t="n">
        <v>0</v>
      </c>
      <c r="U85" t="n">
        <v>0</v>
      </c>
      <c r="V85" s="2" t="inlineStr"/>
    </row>
    <row r="86" ht="15" customHeight="1">
      <c r="A86" t="inlineStr">
        <is>
          <t>A 42794-2024</t>
        </is>
      </c>
      <c r="B86" t="inlineStr">
        <is>
          <t>avverkningsanmälan</t>
        </is>
      </c>
      <c r="C86" t="inlineStr">
        <is>
          <t>Föryngringsavverkning</t>
        </is>
      </c>
      <c r="D86" s="1" t="n">
        <v>45566</v>
      </c>
      <c r="E86" s="1" t="n">
        <v>46322</v>
      </c>
      <c r="F86" t="inlineStr">
        <is>
          <t>SKÅNE LÄN</t>
        </is>
      </c>
      <c r="G86" t="inlineStr">
        <is>
          <t>TOMELILLA</t>
        </is>
      </c>
      <c r="I86" t="n">
        <v>1.9</v>
      </c>
      <c r="J86" t="n">
        <v>0</v>
      </c>
      <c r="K86" t="n">
        <v>0</v>
      </c>
      <c r="L86" t="n">
        <v>0</v>
      </c>
      <c r="M86" t="n">
        <v>0</v>
      </c>
      <c r="N86" t="n">
        <v>0</v>
      </c>
      <c r="O86" t="n">
        <v>0</v>
      </c>
      <c r="P86" t="n">
        <v>0</v>
      </c>
      <c r="Q86" t="n">
        <v>0</v>
      </c>
      <c r="R86" t="n">
        <v>0</v>
      </c>
      <c r="S86" t="n">
        <v>0</v>
      </c>
      <c r="T86" t="n">
        <v>0</v>
      </c>
      <c r="U86" t="n">
        <v>0</v>
      </c>
      <c r="V86" s="2" t="inlineStr"/>
    </row>
    <row r="87" ht="15" customHeight="1">
      <c r="A87" t="inlineStr">
        <is>
          <t>A 31134-2026</t>
        </is>
      </c>
      <c r="B87" t="inlineStr">
        <is>
          <t>avverkningsanmälan</t>
        </is>
      </c>
      <c r="C87" t="inlineStr">
        <is>
          <t>Föryngringsavverkning</t>
        </is>
      </c>
      <c r="D87" s="1" t="n">
        <v>46216</v>
      </c>
      <c r="E87" s="1" t="n">
        <v>46322</v>
      </c>
      <c r="F87" t="inlineStr">
        <is>
          <t>SKÅNE LÄN</t>
        </is>
      </c>
      <c r="G87" t="inlineStr">
        <is>
          <t>TOMELILLA</t>
        </is>
      </c>
      <c r="H87" t="inlineStr">
        <is>
          <t>Övriga Aktiebolag</t>
        </is>
      </c>
      <c r="I87" t="n">
        <v>4.5</v>
      </c>
      <c r="J87" t="n">
        <v>0</v>
      </c>
      <c r="K87" t="n">
        <v>0</v>
      </c>
      <c r="L87" t="n">
        <v>0</v>
      </c>
      <c r="M87" t="n">
        <v>0</v>
      </c>
      <c r="N87" t="n">
        <v>0</v>
      </c>
      <c r="O87" t="n">
        <v>0</v>
      </c>
      <c r="P87" t="n">
        <v>0</v>
      </c>
      <c r="Q87" t="n">
        <v>0</v>
      </c>
      <c r="R87" t="n">
        <v>0</v>
      </c>
      <c r="S87" t="n">
        <v>0</v>
      </c>
      <c r="T87" t="n">
        <v>0</v>
      </c>
      <c r="U87" t="n">
        <v>0</v>
      </c>
      <c r="V87" s="2" t="inlineStr"/>
    </row>
    <row r="88" ht="15" customHeight="1">
      <c r="A88" t="inlineStr">
        <is>
          <t>A 4188-2024</t>
        </is>
      </c>
      <c r="B88" t="inlineStr">
        <is>
          <t>avverkningsanmälan</t>
        </is>
      </c>
      <c r="C88" t="inlineStr">
        <is>
          <t>Föryngringsavverkning</t>
        </is>
      </c>
      <c r="D88" s="1" t="n">
        <v>45324</v>
      </c>
      <c r="E88" s="1" t="n">
        <v>46322</v>
      </c>
      <c r="F88" t="inlineStr">
        <is>
          <t>SKÅNE LÄN</t>
        </is>
      </c>
      <c r="G88" t="inlineStr">
        <is>
          <t>TOMELILLA</t>
        </is>
      </c>
      <c r="H88" t="inlineStr">
        <is>
          <t>Övriga Aktiebolag</t>
        </is>
      </c>
      <c r="I88" t="n">
        <v>9.6</v>
      </c>
      <c r="J88" t="n">
        <v>0</v>
      </c>
      <c r="K88" t="n">
        <v>0</v>
      </c>
      <c r="L88" t="n">
        <v>0</v>
      </c>
      <c r="M88" t="n">
        <v>0</v>
      </c>
      <c r="N88" t="n">
        <v>0</v>
      </c>
      <c r="O88" t="n">
        <v>0</v>
      </c>
      <c r="P88" t="n">
        <v>0</v>
      </c>
      <c r="Q88" t="n">
        <v>0</v>
      </c>
      <c r="R88" t="n">
        <v>0</v>
      </c>
      <c r="S88" t="n">
        <v>0</v>
      </c>
      <c r="T88" t="n">
        <v>0</v>
      </c>
      <c r="U88" t="n">
        <v>0</v>
      </c>
      <c r="V88" s="2" t="inlineStr"/>
    </row>
    <row r="89" ht="15" customHeight="1">
      <c r="A89" t="inlineStr">
        <is>
          <t>A 2190-2022</t>
        </is>
      </c>
      <c r="B89" t="inlineStr">
        <is>
          <t>avverkningsanmälan</t>
        </is>
      </c>
      <c r="C89" t="inlineStr">
        <is>
          <t>Föryngringsavverkning</t>
        </is>
      </c>
      <c r="D89" s="1" t="n">
        <v>44578</v>
      </c>
      <c r="E89" s="1" t="n">
        <v>46322</v>
      </c>
      <c r="F89" t="inlineStr">
        <is>
          <t>SKÅNE LÄN</t>
        </is>
      </c>
      <c r="G89" t="inlineStr">
        <is>
          <t>TOMELILLA</t>
        </is>
      </c>
      <c r="H89" t="inlineStr">
        <is>
          <t>Sveaskog</t>
        </is>
      </c>
      <c r="I89" t="n">
        <v>4.9</v>
      </c>
      <c r="J89" t="n">
        <v>0</v>
      </c>
      <c r="K89" t="n">
        <v>0</v>
      </c>
      <c r="L89" t="n">
        <v>0</v>
      </c>
      <c r="M89" t="n">
        <v>0</v>
      </c>
      <c r="N89" t="n">
        <v>0</v>
      </c>
      <c r="O89" t="n">
        <v>0</v>
      </c>
      <c r="P89" t="n">
        <v>0</v>
      </c>
      <c r="Q89" t="n">
        <v>0</v>
      </c>
      <c r="R89" t="n">
        <v>0</v>
      </c>
      <c r="S89" t="n">
        <v>0</v>
      </c>
      <c r="T89" t="n">
        <v>0</v>
      </c>
      <c r="U89" t="n">
        <v>0</v>
      </c>
      <c r="V89" s="2" t="inlineStr"/>
    </row>
    <row r="90" ht="15" customHeight="1">
      <c r="A90" t="inlineStr">
        <is>
          <t>A 61970-2025</t>
        </is>
      </c>
      <c r="B90" t="inlineStr">
        <is>
          <t>avverkningsanmälan</t>
        </is>
      </c>
      <c r="C90" t="inlineStr">
        <is>
          <t>Avverkning för annat ändamål</t>
        </is>
      </c>
      <c r="D90" s="1" t="n">
        <v>46003</v>
      </c>
      <c r="E90" s="1" t="n">
        <v>46322</v>
      </c>
      <c r="F90" t="inlineStr">
        <is>
          <t>SKÅNE LÄN</t>
        </is>
      </c>
      <c r="G90" t="inlineStr">
        <is>
          <t>TOMELILLA</t>
        </is>
      </c>
      <c r="I90" t="n">
        <v>2</v>
      </c>
      <c r="J90" t="n">
        <v>0</v>
      </c>
      <c r="K90" t="n">
        <v>0</v>
      </c>
      <c r="L90" t="n">
        <v>0</v>
      </c>
      <c r="M90" t="n">
        <v>0</v>
      </c>
      <c r="N90" t="n">
        <v>0</v>
      </c>
      <c r="O90" t="n">
        <v>0</v>
      </c>
      <c r="P90" t="n">
        <v>0</v>
      </c>
      <c r="Q90" t="n">
        <v>0</v>
      </c>
      <c r="R90" t="n">
        <v>0</v>
      </c>
      <c r="S90" t="n">
        <v>0</v>
      </c>
      <c r="T90" t="n">
        <v>0</v>
      </c>
      <c r="U90" t="n">
        <v>0</v>
      </c>
      <c r="V90" s="2" t="inlineStr"/>
    </row>
    <row r="91" ht="15" customHeight="1">
      <c r="A91" t="inlineStr">
        <is>
          <t>A 53977-2022</t>
        </is>
      </c>
      <c r="B91" t="inlineStr">
        <is>
          <t>avverkningsanmälan</t>
        </is>
      </c>
      <c r="C91" t="inlineStr">
        <is>
          <t>Föryngringsavverkning</t>
        </is>
      </c>
      <c r="D91" s="1" t="n">
        <v>44876</v>
      </c>
      <c r="E91" s="1" t="n">
        <v>46322</v>
      </c>
      <c r="F91" t="inlineStr">
        <is>
          <t>SKÅNE LÄN</t>
        </is>
      </c>
      <c r="G91" t="inlineStr">
        <is>
          <t>TOMELILLA</t>
        </is>
      </c>
      <c r="I91" t="n">
        <v>2.4</v>
      </c>
      <c r="J91" t="n">
        <v>0</v>
      </c>
      <c r="K91" t="n">
        <v>0</v>
      </c>
      <c r="L91" t="n">
        <v>0</v>
      </c>
      <c r="M91" t="n">
        <v>0</v>
      </c>
      <c r="N91" t="n">
        <v>0</v>
      </c>
      <c r="O91" t="n">
        <v>0</v>
      </c>
      <c r="P91" t="n">
        <v>0</v>
      </c>
      <c r="Q91" t="n">
        <v>0</v>
      </c>
      <c r="R91" t="n">
        <v>0</v>
      </c>
      <c r="S91" t="n">
        <v>0</v>
      </c>
      <c r="T91" t="n">
        <v>0</v>
      </c>
      <c r="U91" t="n">
        <v>0</v>
      </c>
      <c r="V91" s="2" t="inlineStr"/>
    </row>
    <row r="92" ht="15" customHeight="1">
      <c r="A92" t="inlineStr">
        <is>
          <t>A 12903-2024</t>
        </is>
      </c>
      <c r="B92" t="inlineStr">
        <is>
          <t>avverkningsanmälan</t>
        </is>
      </c>
      <c r="C92" t="inlineStr">
        <is>
          <t>Föryngringsavverkning</t>
        </is>
      </c>
      <c r="D92" s="1" t="n">
        <v>45385</v>
      </c>
      <c r="E92" s="1" t="n">
        <v>46322</v>
      </c>
      <c r="F92" t="inlineStr">
        <is>
          <t>SKÅNE LÄN</t>
        </is>
      </c>
      <c r="G92" t="inlineStr">
        <is>
          <t>TOMELILLA</t>
        </is>
      </c>
      <c r="I92" t="n">
        <v>9.199999999999999</v>
      </c>
      <c r="J92" t="n">
        <v>0</v>
      </c>
      <c r="K92" t="n">
        <v>0</v>
      </c>
      <c r="L92" t="n">
        <v>0</v>
      </c>
      <c r="M92" t="n">
        <v>0</v>
      </c>
      <c r="N92" t="n">
        <v>0</v>
      </c>
      <c r="O92" t="n">
        <v>0</v>
      </c>
      <c r="P92" t="n">
        <v>0</v>
      </c>
      <c r="Q92" t="n">
        <v>0</v>
      </c>
      <c r="R92" t="n">
        <v>0</v>
      </c>
      <c r="S92" t="n">
        <v>0</v>
      </c>
      <c r="T92" t="n">
        <v>0</v>
      </c>
      <c r="U92" t="n">
        <v>0</v>
      </c>
      <c r="V92" s="2" t="inlineStr"/>
    </row>
    <row r="93" ht="15" customHeight="1">
      <c r="A93" t="inlineStr">
        <is>
          <t>A 17151-2024</t>
        </is>
      </c>
      <c r="B93" t="inlineStr">
        <is>
          <t>avverkningsanmälan</t>
        </is>
      </c>
      <c r="C93" t="inlineStr">
        <is>
          <t>Föryngringsavverkning</t>
        </is>
      </c>
      <c r="D93" s="1" t="n">
        <v>45412</v>
      </c>
      <c r="E93" s="1" t="n">
        <v>46322</v>
      </c>
      <c r="F93" t="inlineStr">
        <is>
          <t>SKÅNE LÄN</t>
        </is>
      </c>
      <c r="G93" t="inlineStr">
        <is>
          <t>TOMELILLA</t>
        </is>
      </c>
      <c r="H93" t="inlineStr">
        <is>
          <t>Övriga Aktiebolag</t>
        </is>
      </c>
      <c r="I93" t="n">
        <v>3.6</v>
      </c>
      <c r="J93" t="n">
        <v>0</v>
      </c>
      <c r="K93" t="n">
        <v>0</v>
      </c>
      <c r="L93" t="n">
        <v>0</v>
      </c>
      <c r="M93" t="n">
        <v>0</v>
      </c>
      <c r="N93" t="n">
        <v>0</v>
      </c>
      <c r="O93" t="n">
        <v>0</v>
      </c>
      <c r="P93" t="n">
        <v>0</v>
      </c>
      <c r="Q93" t="n">
        <v>0</v>
      </c>
      <c r="R93" t="n">
        <v>0</v>
      </c>
      <c r="S93" t="n">
        <v>0</v>
      </c>
      <c r="T93" t="n">
        <v>0</v>
      </c>
      <c r="U93" t="n">
        <v>0</v>
      </c>
      <c r="V93" s="2" t="inlineStr"/>
    </row>
    <row r="94" ht="15" customHeight="1">
      <c r="A94" t="inlineStr">
        <is>
          <t>A 30040-2024</t>
        </is>
      </c>
      <c r="B94" t="inlineStr">
        <is>
          <t>avverkningsanmälan</t>
        </is>
      </c>
      <c r="C94" t="inlineStr">
        <is>
          <t>Avverkning för annat ändamål</t>
        </is>
      </c>
      <c r="D94" s="1" t="n">
        <v>45488</v>
      </c>
      <c r="E94" s="1" t="n">
        <v>46322</v>
      </c>
      <c r="F94" t="inlineStr">
        <is>
          <t>SKÅNE LÄN</t>
        </is>
      </c>
      <c r="G94" t="inlineStr">
        <is>
          <t>TOMELILLA</t>
        </is>
      </c>
      <c r="I94" t="n">
        <v>4.3</v>
      </c>
      <c r="J94" t="n">
        <v>0</v>
      </c>
      <c r="K94" t="n">
        <v>0</v>
      </c>
      <c r="L94" t="n">
        <v>0</v>
      </c>
      <c r="M94" t="n">
        <v>0</v>
      </c>
      <c r="N94" t="n">
        <v>0</v>
      </c>
      <c r="O94" t="n">
        <v>0</v>
      </c>
      <c r="P94" t="n">
        <v>0</v>
      </c>
      <c r="Q94" t="n">
        <v>0</v>
      </c>
      <c r="R94" t="n">
        <v>0</v>
      </c>
      <c r="S94" t="n">
        <v>0</v>
      </c>
      <c r="T94" t="n">
        <v>0</v>
      </c>
      <c r="U94" t="n">
        <v>0</v>
      </c>
      <c r="V94" s="2" t="inlineStr"/>
    </row>
    <row r="95" ht="15" customHeight="1">
      <c r="A95" t="inlineStr">
        <is>
          <t>A 6124-2026</t>
        </is>
      </c>
      <c r="B95" t="inlineStr">
        <is>
          <t>avverkningsanmälan</t>
        </is>
      </c>
      <c r="C95" t="inlineStr">
        <is>
          <t>Föryngringsavverkning</t>
        </is>
      </c>
      <c r="D95" s="1" t="n">
        <v>46053</v>
      </c>
      <c r="E95" s="1" t="n">
        <v>46322</v>
      </c>
      <c r="F95" t="inlineStr">
        <is>
          <t>SKÅNE LÄN</t>
        </is>
      </c>
      <c r="G95" t="inlineStr">
        <is>
          <t>TOMELILLA</t>
        </is>
      </c>
      <c r="I95" t="n">
        <v>0.5</v>
      </c>
      <c r="J95" t="n">
        <v>0</v>
      </c>
      <c r="K95" t="n">
        <v>0</v>
      </c>
      <c r="L95" t="n">
        <v>0</v>
      </c>
      <c r="M95" t="n">
        <v>0</v>
      </c>
      <c r="N95" t="n">
        <v>0</v>
      </c>
      <c r="O95" t="n">
        <v>0</v>
      </c>
      <c r="P95" t="n">
        <v>0</v>
      </c>
      <c r="Q95" t="n">
        <v>0</v>
      </c>
      <c r="R95" t="n">
        <v>0</v>
      </c>
      <c r="S95" t="n">
        <v>0</v>
      </c>
      <c r="T95" t="n">
        <v>0</v>
      </c>
      <c r="U95" t="n">
        <v>0</v>
      </c>
      <c r="V95" s="2" t="inlineStr"/>
    </row>
    <row r="96" ht="15" customHeight="1">
      <c r="A96" t="inlineStr">
        <is>
          <t>A 38074-2026</t>
        </is>
      </c>
      <c r="B96" t="inlineStr">
        <is>
          <t>avverkningsanmälan</t>
        </is>
      </c>
      <c r="C96" t="inlineStr">
        <is>
          <t>Föryngringsavverkning</t>
        </is>
      </c>
      <c r="D96" s="1" t="n">
        <v>46280</v>
      </c>
      <c r="E96" s="1" t="n">
        <v>46322</v>
      </c>
      <c r="F96" t="inlineStr">
        <is>
          <t>SKÅNE LÄN</t>
        </is>
      </c>
      <c r="G96" t="inlineStr">
        <is>
          <t>TOMELILLA</t>
        </is>
      </c>
      <c r="I96" t="n">
        <v>4.6</v>
      </c>
      <c r="J96" t="n">
        <v>0</v>
      </c>
      <c r="K96" t="n">
        <v>0</v>
      </c>
      <c r="L96" t="n">
        <v>0</v>
      </c>
      <c r="M96" t="n">
        <v>0</v>
      </c>
      <c r="N96" t="n">
        <v>0</v>
      </c>
      <c r="O96" t="n">
        <v>0</v>
      </c>
      <c r="P96" t="n">
        <v>0</v>
      </c>
      <c r="Q96" t="n">
        <v>0</v>
      </c>
      <c r="R96" t="n">
        <v>0</v>
      </c>
      <c r="S96" t="n">
        <v>0</v>
      </c>
      <c r="T96" t="n">
        <v>0</v>
      </c>
      <c r="U96" t="n">
        <v>0</v>
      </c>
      <c r="V96" s="2" t="inlineStr"/>
    </row>
    <row r="97" ht="15" customHeight="1">
      <c r="A97" t="inlineStr">
        <is>
          <t>A 16621-2026</t>
        </is>
      </c>
      <c r="B97" t="inlineStr">
        <is>
          <t>avverkningsanmälan</t>
        </is>
      </c>
      <c r="C97" t="inlineStr">
        <is>
          <t>Föryngringsavverkning</t>
        </is>
      </c>
      <c r="D97" s="1" t="n">
        <v>46112</v>
      </c>
      <c r="E97" s="1" t="n">
        <v>46322</v>
      </c>
      <c r="F97" t="inlineStr">
        <is>
          <t>SKÅNE LÄN</t>
        </is>
      </c>
      <c r="G97" t="inlineStr">
        <is>
          <t>TOMELILLA</t>
        </is>
      </c>
      <c r="H97" t="inlineStr">
        <is>
          <t>Kommuner</t>
        </is>
      </c>
      <c r="I97" t="n">
        <v>0.4</v>
      </c>
      <c r="J97" t="n">
        <v>0</v>
      </c>
      <c r="K97" t="n">
        <v>0</v>
      </c>
      <c r="L97" t="n">
        <v>0</v>
      </c>
      <c r="M97" t="n">
        <v>0</v>
      </c>
      <c r="N97" t="n">
        <v>0</v>
      </c>
      <c r="O97" t="n">
        <v>0</v>
      </c>
      <c r="P97" t="n">
        <v>0</v>
      </c>
      <c r="Q97" t="n">
        <v>0</v>
      </c>
      <c r="R97" t="n">
        <v>0</v>
      </c>
      <c r="S97" t="n">
        <v>0</v>
      </c>
      <c r="T97" t="n">
        <v>0</v>
      </c>
      <c r="U97" t="n">
        <v>0</v>
      </c>
      <c r="V97" s="2" t="inlineStr"/>
    </row>
    <row r="98" ht="15" customHeight="1">
      <c r="A98" t="inlineStr">
        <is>
          <t>A 16483-2024</t>
        </is>
      </c>
      <c r="B98" t="inlineStr">
        <is>
          <t>avverkningsanmälan</t>
        </is>
      </c>
      <c r="C98" t="inlineStr">
        <is>
          <t>Föryngringsavverkning</t>
        </is>
      </c>
      <c r="D98" s="1" t="n">
        <v>45408</v>
      </c>
      <c r="E98" s="1" t="n">
        <v>46322</v>
      </c>
      <c r="F98" t="inlineStr">
        <is>
          <t>SKÅNE LÄN</t>
        </is>
      </c>
      <c r="G98" t="inlineStr">
        <is>
          <t>TOMELILLA</t>
        </is>
      </c>
      <c r="I98" t="n">
        <v>0.7</v>
      </c>
      <c r="J98" t="n">
        <v>0</v>
      </c>
      <c r="K98" t="n">
        <v>0</v>
      </c>
      <c r="L98" t="n">
        <v>0</v>
      </c>
      <c r="M98" t="n">
        <v>0</v>
      </c>
      <c r="N98" t="n">
        <v>0</v>
      </c>
      <c r="O98" t="n">
        <v>0</v>
      </c>
      <c r="P98" t="n">
        <v>0</v>
      </c>
      <c r="Q98" t="n">
        <v>0</v>
      </c>
      <c r="R98" t="n">
        <v>0</v>
      </c>
      <c r="S98" t="n">
        <v>0</v>
      </c>
      <c r="T98" t="n">
        <v>0</v>
      </c>
      <c r="U98" t="n">
        <v>0</v>
      </c>
      <c r="V98" s="2" t="inlineStr"/>
    </row>
    <row r="99" ht="15" customHeight="1">
      <c r="A99" t="inlineStr">
        <is>
          <t>A 12663-2022</t>
        </is>
      </c>
      <c r="B99" t="inlineStr">
        <is>
          <t>avverkningsanmälan</t>
        </is>
      </c>
      <c r="C99" t="inlineStr">
        <is>
          <t>Föryngringsavverkning</t>
        </is>
      </c>
      <c r="D99" s="1" t="n">
        <v>44641</v>
      </c>
      <c r="E99" s="1" t="n">
        <v>46322</v>
      </c>
      <c r="F99" t="inlineStr">
        <is>
          <t>SKÅNE LÄN</t>
        </is>
      </c>
      <c r="G99" t="inlineStr">
        <is>
          <t>TOMELILLA</t>
        </is>
      </c>
      <c r="H99" t="inlineStr">
        <is>
          <t>Övriga Aktiebolag</t>
        </is>
      </c>
      <c r="I99" t="n">
        <v>12.4</v>
      </c>
      <c r="J99" t="n">
        <v>0</v>
      </c>
      <c r="K99" t="n">
        <v>0</v>
      </c>
      <c r="L99" t="n">
        <v>0</v>
      </c>
      <c r="M99" t="n">
        <v>0</v>
      </c>
      <c r="N99" t="n">
        <v>0</v>
      </c>
      <c r="O99" t="n">
        <v>0</v>
      </c>
      <c r="P99" t="n">
        <v>0</v>
      </c>
      <c r="Q99" t="n">
        <v>0</v>
      </c>
      <c r="R99" t="n">
        <v>0</v>
      </c>
      <c r="S99" t="n">
        <v>0</v>
      </c>
      <c r="T99" t="n">
        <v>0</v>
      </c>
      <c r="U99" t="n">
        <v>0</v>
      </c>
      <c r="V99" s="2" t="inlineStr"/>
    </row>
    <row r="100" ht="15" customHeight="1">
      <c r="A100" t="inlineStr">
        <is>
          <t>A 30806-2023</t>
        </is>
      </c>
      <c r="B100" t="inlineStr">
        <is>
          <t>avverkningsanmälan</t>
        </is>
      </c>
      <c r="C100" t="inlineStr">
        <is>
          <t>Föryngringsavverkning</t>
        </is>
      </c>
      <c r="D100" s="1" t="n">
        <v>45112</v>
      </c>
      <c r="E100" s="1" t="n">
        <v>46322</v>
      </c>
      <c r="F100" t="inlineStr">
        <is>
          <t>SKÅNE LÄN</t>
        </is>
      </c>
      <c r="G100" t="inlineStr">
        <is>
          <t>TOMELILLA</t>
        </is>
      </c>
      <c r="H100" t="inlineStr">
        <is>
          <t>Övriga Aktiebolag</t>
        </is>
      </c>
      <c r="I100" t="n">
        <v>0.7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17316-2024</t>
        </is>
      </c>
      <c r="B101" t="inlineStr">
        <is>
          <t>avverkningsanmälan</t>
        </is>
      </c>
      <c r="C101" t="inlineStr">
        <is>
          <t>Föryngringsavverkning</t>
        </is>
      </c>
      <c r="D101" s="1" t="n">
        <v>45414</v>
      </c>
      <c r="E101" s="1" t="n">
        <v>46322</v>
      </c>
      <c r="F101" t="inlineStr">
        <is>
          <t>SKÅNE LÄN</t>
        </is>
      </c>
      <c r="G101" t="inlineStr">
        <is>
          <t>TOMELILLA</t>
        </is>
      </c>
      <c r="H101" t="inlineStr">
        <is>
          <t>Övriga Aktiebolag</t>
        </is>
      </c>
      <c r="I101" t="n">
        <v>4.3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61841-2025</t>
        </is>
      </c>
      <c r="B102" t="inlineStr">
        <is>
          <t>avverkningsanmälan</t>
        </is>
      </c>
      <c r="C102" t="inlineStr">
        <is>
          <t>Föryngringsavverkning</t>
        </is>
      </c>
      <c r="D102" s="1" t="n">
        <v>46003</v>
      </c>
      <c r="E102" s="1" t="n">
        <v>46322</v>
      </c>
      <c r="F102" t="inlineStr">
        <is>
          <t>SKÅNE LÄN</t>
        </is>
      </c>
      <c r="G102" t="inlineStr">
        <is>
          <t>TOMELILLA</t>
        </is>
      </c>
      <c r="I102" t="n">
        <v>1.1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32955-2026</t>
        </is>
      </c>
      <c r="B103" t="inlineStr">
        <is>
          <t>avverkningsanmälan</t>
        </is>
      </c>
      <c r="C103" t="inlineStr">
        <is>
          <t>Föryngringsavverkning</t>
        </is>
      </c>
      <c r="D103" s="1" t="n">
        <v>46244</v>
      </c>
      <c r="E103" s="1" t="n">
        <v>46322</v>
      </c>
      <c r="F103" t="inlineStr">
        <is>
          <t>SKÅNE LÄN</t>
        </is>
      </c>
      <c r="G103" t="inlineStr">
        <is>
          <t>TOMELILLA</t>
        </is>
      </c>
      <c r="I103" t="n">
        <v>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4482-2026</t>
        </is>
      </c>
      <c r="B104" t="inlineStr">
        <is>
          <t>avverkningsanmälan</t>
        </is>
      </c>
      <c r="C104" t="inlineStr">
        <is>
          <t>Föryngringsavverkning</t>
        </is>
      </c>
      <c r="D104" s="1" t="n">
        <v>46045</v>
      </c>
      <c r="E104" s="1" t="n">
        <v>46322</v>
      </c>
      <c r="F104" t="inlineStr">
        <is>
          <t>SKÅNE LÄN</t>
        </is>
      </c>
      <c r="G104" t="inlineStr">
        <is>
          <t>TOMELILLA</t>
        </is>
      </c>
      <c r="H104" t="inlineStr">
        <is>
          <t>Övriga Aktiebolag</t>
        </is>
      </c>
      <c r="I104" t="n">
        <v>6.5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6852-2026</t>
        </is>
      </c>
      <c r="B105" t="inlineStr">
        <is>
          <t>avverkningsanmälan</t>
        </is>
      </c>
      <c r="C105" t="inlineStr">
        <is>
          <t>Föryngringsavverkning</t>
        </is>
      </c>
      <c r="D105" s="1" t="n">
        <v>46057</v>
      </c>
      <c r="E105" s="1" t="n">
        <v>46322</v>
      </c>
      <c r="F105" t="inlineStr">
        <is>
          <t>SKÅNE LÄN</t>
        </is>
      </c>
      <c r="G105" t="inlineStr">
        <is>
          <t>TOMELILLA</t>
        </is>
      </c>
      <c r="H105" t="inlineStr">
        <is>
          <t>Övriga Aktiebolag</t>
        </is>
      </c>
      <c r="I105" t="n">
        <v>4.8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31993-2023</t>
        </is>
      </c>
      <c r="B106" t="inlineStr">
        <is>
          <t>avverkningsanmälan</t>
        </is>
      </c>
      <c r="C106" t="inlineStr">
        <is>
          <t>Föryngringsavverkning</t>
        </is>
      </c>
      <c r="D106" s="1" t="n">
        <v>45119</v>
      </c>
      <c r="E106" s="1" t="n">
        <v>46322</v>
      </c>
      <c r="F106" t="inlineStr">
        <is>
          <t>SKÅNE LÄN</t>
        </is>
      </c>
      <c r="G106" t="inlineStr">
        <is>
          <t>TOMELILLA</t>
        </is>
      </c>
      <c r="I106" t="n">
        <v>6.8</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40128-2026</t>
        </is>
      </c>
      <c r="B107" t="inlineStr">
        <is>
          <t>avverkningsanmälan</t>
        </is>
      </c>
      <c r="C107" t="inlineStr">
        <is>
          <t>Föryngringsavverkning</t>
        </is>
      </c>
      <c r="D107" s="1" t="n">
        <v>46293</v>
      </c>
      <c r="E107" s="1" t="n">
        <v>46322</v>
      </c>
      <c r="F107" t="inlineStr">
        <is>
          <t>SKÅNE LÄN</t>
        </is>
      </c>
      <c r="G107" t="inlineStr">
        <is>
          <t>TOMELILLA</t>
        </is>
      </c>
      <c r="I107" t="n">
        <v>0.9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16568-2024</t>
        </is>
      </c>
      <c r="B108" t="inlineStr">
        <is>
          <t>avverkningsanmälan</t>
        </is>
      </c>
      <c r="C108" t="inlineStr">
        <is>
          <t>Föryngringsavverkning</t>
        </is>
      </c>
      <c r="D108" s="1" t="n">
        <v>45408</v>
      </c>
      <c r="E108" s="1" t="n">
        <v>46322</v>
      </c>
      <c r="F108" t="inlineStr">
        <is>
          <t>SKÅNE LÄN</t>
        </is>
      </c>
      <c r="G108" t="inlineStr">
        <is>
          <t>TOMELILLA</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4677-2023</t>
        </is>
      </c>
      <c r="B109" t="inlineStr">
        <is>
          <t>avverkningsanmälan</t>
        </is>
      </c>
      <c r="C109" t="inlineStr">
        <is>
          <t>Föryngringsavverkning</t>
        </is>
      </c>
      <c r="D109" s="1" t="n">
        <v>44952</v>
      </c>
      <c r="E109" s="1" t="n">
        <v>46322</v>
      </c>
      <c r="F109" t="inlineStr">
        <is>
          <t>SKÅNE LÄN</t>
        </is>
      </c>
      <c r="G109" t="inlineStr">
        <is>
          <t>TOMELILLA</t>
        </is>
      </c>
      <c r="I109" t="n">
        <v>0.6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21291-2026</t>
        </is>
      </c>
      <c r="B110" t="inlineStr">
        <is>
          <t>avverkningsanmälan</t>
        </is>
      </c>
      <c r="C110" t="inlineStr">
        <is>
          <t>Föryngringsavverkning</t>
        </is>
      </c>
      <c r="D110" s="1" t="n">
        <v>46147</v>
      </c>
      <c r="E110" s="1" t="n">
        <v>46322</v>
      </c>
      <c r="F110" t="inlineStr">
        <is>
          <t>SKÅNE LÄN</t>
        </is>
      </c>
      <c r="G110" t="inlineStr">
        <is>
          <t>TOMELILLA</t>
        </is>
      </c>
      <c r="I110" t="n">
        <v>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21293-2026</t>
        </is>
      </c>
      <c r="B111" t="inlineStr">
        <is>
          <t>avverkningsanmälan</t>
        </is>
      </c>
      <c r="C111" t="inlineStr">
        <is>
          <t>Föryngringsavverkning</t>
        </is>
      </c>
      <c r="D111" s="1" t="n">
        <v>46147</v>
      </c>
      <c r="E111" s="1" t="n">
        <v>46322</v>
      </c>
      <c r="F111" t="inlineStr">
        <is>
          <t>SKÅNE LÄN</t>
        </is>
      </c>
      <c r="G111" t="inlineStr">
        <is>
          <t>TOMELILLA</t>
        </is>
      </c>
      <c r="I111" t="n">
        <v>2.6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11802-2024</t>
        </is>
      </c>
      <c r="B112" t="inlineStr">
        <is>
          <t>avverkningsanmälan</t>
        </is>
      </c>
      <c r="C112" t="inlineStr">
        <is>
          <t>Föryngringsavverkning</t>
        </is>
      </c>
      <c r="D112" s="1" t="n">
        <v>45375</v>
      </c>
      <c r="E112" s="1" t="n">
        <v>46322</v>
      </c>
      <c r="F112" t="inlineStr">
        <is>
          <t>SKÅNE LÄN</t>
        </is>
      </c>
      <c r="G112" t="inlineStr">
        <is>
          <t>TOMELILLA</t>
        </is>
      </c>
      <c r="H112" t="inlineStr">
        <is>
          <t>Övriga Aktiebolag</t>
        </is>
      </c>
      <c r="I112" t="n">
        <v>4.7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11894-2024</t>
        </is>
      </c>
      <c r="B113" t="inlineStr">
        <is>
          <t>avverkningsanmälan</t>
        </is>
      </c>
      <c r="C113" t="inlineStr">
        <is>
          <t>Föryngringsavverkning</t>
        </is>
      </c>
      <c r="D113" s="1" t="n">
        <v>45376</v>
      </c>
      <c r="E113" s="1" t="n">
        <v>46322</v>
      </c>
      <c r="F113" t="inlineStr">
        <is>
          <t>SKÅNE LÄN</t>
        </is>
      </c>
      <c r="G113" t="inlineStr">
        <is>
          <t>TOMELILLA</t>
        </is>
      </c>
      <c r="H113" t="inlineStr">
        <is>
          <t>Övriga Aktiebolag</t>
        </is>
      </c>
      <c r="I113" t="n">
        <v>4.4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40129-2026</t>
        </is>
      </c>
      <c r="B114" t="inlineStr">
        <is>
          <t>avverkningsanmälan</t>
        </is>
      </c>
      <c r="C114" t="inlineStr">
        <is>
          <t>Föryngringsavverkning</t>
        </is>
      </c>
      <c r="D114" s="1" t="n">
        <v>46293</v>
      </c>
      <c r="E114" s="1" t="n">
        <v>46322</v>
      </c>
      <c r="F114" t="inlineStr">
        <is>
          <t>SKÅNE LÄN</t>
        </is>
      </c>
      <c r="G114" t="inlineStr">
        <is>
          <t>TOMELILLA</t>
        </is>
      </c>
      <c r="I114" t="n">
        <v>1.2</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24248-2024</t>
        </is>
      </c>
      <c r="B115" t="inlineStr">
        <is>
          <t>avverkningsanmälan</t>
        </is>
      </c>
      <c r="C115" t="inlineStr">
        <is>
          <t>Föryngringsavverkning</t>
        </is>
      </c>
      <c r="D115" s="1" t="n">
        <v>45457</v>
      </c>
      <c r="E115" s="1" t="n">
        <v>46322</v>
      </c>
      <c r="F115" t="inlineStr">
        <is>
          <t>SKÅNE LÄN</t>
        </is>
      </c>
      <c r="G115" t="inlineStr">
        <is>
          <t>TOMELILLA</t>
        </is>
      </c>
      <c r="I115" t="n">
        <v>2</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25597-2026</t>
        </is>
      </c>
      <c r="B116" t="inlineStr">
        <is>
          <t>avverkningsanmälan</t>
        </is>
      </c>
      <c r="C116" t="inlineStr">
        <is>
          <t>Föryngringsavverkning</t>
        </is>
      </c>
      <c r="D116" s="1" t="n">
        <v>46177</v>
      </c>
      <c r="E116" s="1" t="n">
        <v>46322</v>
      </c>
      <c r="F116" t="inlineStr">
        <is>
          <t>SKÅNE LÄN</t>
        </is>
      </c>
      <c r="G116" t="inlineStr">
        <is>
          <t>TOMELILLA</t>
        </is>
      </c>
      <c r="I116" t="n">
        <v>2.5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15288-2026</t>
        </is>
      </c>
      <c r="B117" t="inlineStr">
        <is>
          <t>avverkningsanmälan</t>
        </is>
      </c>
      <c r="C117" t="inlineStr">
        <is>
          <t>Föryngringsavverkning</t>
        </is>
      </c>
      <c r="D117" s="1" t="n">
        <v>46105</v>
      </c>
      <c r="E117" s="1" t="n">
        <v>46322</v>
      </c>
      <c r="F117" t="inlineStr">
        <is>
          <t>SKÅNE LÄN</t>
        </is>
      </c>
      <c r="G117" t="inlineStr">
        <is>
          <t>TOMELILLA</t>
        </is>
      </c>
      <c r="I117" t="n">
        <v>4.8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5027-2024</t>
        </is>
      </c>
      <c r="B118" t="inlineStr">
        <is>
          <t>avverkningsanmälan</t>
        </is>
      </c>
      <c r="C118" t="inlineStr">
        <is>
          <t>Föryngringsavverkning</t>
        </is>
      </c>
      <c r="D118" s="1" t="n">
        <v>45329</v>
      </c>
      <c r="E118" s="1" t="n">
        <v>46322</v>
      </c>
      <c r="F118" t="inlineStr">
        <is>
          <t>SKÅNE LÄN</t>
        </is>
      </c>
      <c r="G118" t="inlineStr">
        <is>
          <t>TOMELILLA</t>
        </is>
      </c>
      <c r="H118" t="inlineStr">
        <is>
          <t>Övriga Aktiebolag</t>
        </is>
      </c>
      <c r="I118" t="n">
        <v>4.7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39796-2025</t>
        </is>
      </c>
      <c r="B119" t="inlineStr">
        <is>
          <t>avverkningsanmälan</t>
        </is>
      </c>
      <c r="C119" t="inlineStr">
        <is>
          <t>Föryngringsavverkning</t>
        </is>
      </c>
      <c r="D119" s="1" t="n">
        <v>45891</v>
      </c>
      <c r="E119" s="1" t="n">
        <v>46322</v>
      </c>
      <c r="F119" t="inlineStr">
        <is>
          <t>SKÅNE LÄN</t>
        </is>
      </c>
      <c r="G119" t="inlineStr">
        <is>
          <t>TOMELILLA</t>
        </is>
      </c>
      <c r="I119" t="n">
        <v>3.9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37743-2026</t>
        </is>
      </c>
      <c r="B120" t="inlineStr">
        <is>
          <t>avverkningsanmälan</t>
        </is>
      </c>
      <c r="C120" t="inlineStr">
        <is>
          <t>Föryngringsavverkning</t>
        </is>
      </c>
      <c r="D120" s="1" t="n">
        <v>46279</v>
      </c>
      <c r="E120" s="1" t="n">
        <v>46322</v>
      </c>
      <c r="F120" t="inlineStr">
        <is>
          <t>SKÅNE LÄN</t>
        </is>
      </c>
      <c r="G120" t="inlineStr">
        <is>
          <t>TOMELILLA</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16611-2026</t>
        </is>
      </c>
      <c r="B121" t="inlineStr">
        <is>
          <t>avverkningsanmälan</t>
        </is>
      </c>
      <c r="C121" t="inlineStr">
        <is>
          <t>Föryngringsavverkning</t>
        </is>
      </c>
      <c r="D121" s="1" t="n">
        <v>46112</v>
      </c>
      <c r="E121" s="1" t="n">
        <v>46322</v>
      </c>
      <c r="F121" t="inlineStr">
        <is>
          <t>SKÅNE LÄN</t>
        </is>
      </c>
      <c r="G121" t="inlineStr">
        <is>
          <t>TOMELILLA</t>
        </is>
      </c>
      <c r="H121" t="inlineStr">
        <is>
          <t>Kommuner</t>
        </is>
      </c>
      <c r="I121" t="n">
        <v>0.7</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12181-2023</t>
        </is>
      </c>
      <c r="B122" t="inlineStr">
        <is>
          <t>avverkningsanmälan</t>
        </is>
      </c>
      <c r="C122" t="inlineStr">
        <is>
          <t>Föryngringsavverkning</t>
        </is>
      </c>
      <c r="D122" s="1" t="n">
        <v>44998</v>
      </c>
      <c r="E122" s="1" t="n">
        <v>46322</v>
      </c>
      <c r="F122" t="inlineStr">
        <is>
          <t>SKÅNE LÄN</t>
        </is>
      </c>
      <c r="G122" t="inlineStr">
        <is>
          <t>TOMELILLA</t>
        </is>
      </c>
      <c r="I122" t="n">
        <v>1.3</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38562-2023</t>
        </is>
      </c>
      <c r="B123" t="inlineStr">
        <is>
          <t>avverkningsanmälan</t>
        </is>
      </c>
      <c r="C123" t="inlineStr">
        <is>
          <t>Föryngringsavverkning</t>
        </is>
      </c>
      <c r="D123" s="1" t="n">
        <v>45162</v>
      </c>
      <c r="E123" s="1" t="n">
        <v>46322</v>
      </c>
      <c r="F123" t="inlineStr">
        <is>
          <t>SKÅNE LÄN</t>
        </is>
      </c>
      <c r="G123" t="inlineStr">
        <is>
          <t>TOMELILLA</t>
        </is>
      </c>
      <c r="I123" t="n">
        <v>2.2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17778-2024</t>
        </is>
      </c>
      <c r="B124" t="inlineStr">
        <is>
          <t>avverkningsanmälan</t>
        </is>
      </c>
      <c r="C124" t="inlineStr">
        <is>
          <t>Föryngringsavverkning</t>
        </is>
      </c>
      <c r="D124" s="1" t="n">
        <v>45418</v>
      </c>
      <c r="E124" s="1" t="n">
        <v>46322</v>
      </c>
      <c r="F124" t="inlineStr">
        <is>
          <t>SKÅNE LÄN</t>
        </is>
      </c>
      <c r="G124" t="inlineStr">
        <is>
          <t>TOMELILLA</t>
        </is>
      </c>
      <c r="H124" t="inlineStr">
        <is>
          <t>Övriga Aktiebolag</t>
        </is>
      </c>
      <c r="I124" t="n">
        <v>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24002-2026</t>
        </is>
      </c>
      <c r="B125" t="inlineStr">
        <is>
          <t>avverkningsanmälan</t>
        </is>
      </c>
      <c r="C125" t="inlineStr">
        <is>
          <t>Avverkning för annat ändamål</t>
        </is>
      </c>
      <c r="D125" s="1" t="n">
        <v>46167</v>
      </c>
      <c r="E125" s="1" t="n">
        <v>46322</v>
      </c>
      <c r="F125" t="inlineStr">
        <is>
          <t>SKÅNE LÄN</t>
        </is>
      </c>
      <c r="G125" t="inlineStr">
        <is>
          <t>TOMELILLA</t>
        </is>
      </c>
      <c r="I125" t="n">
        <v>6.4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15296-2026</t>
        </is>
      </c>
      <c r="B126" t="inlineStr">
        <is>
          <t>avverkningsanmälan</t>
        </is>
      </c>
      <c r="C126" t="inlineStr">
        <is>
          <t>Föryngringsavverkning</t>
        </is>
      </c>
      <c r="D126" s="1" t="n">
        <v>46105</v>
      </c>
      <c r="E126" s="1" t="n">
        <v>46322</v>
      </c>
      <c r="F126" t="inlineStr">
        <is>
          <t>SKÅNE LÄN</t>
        </is>
      </c>
      <c r="G126" t="inlineStr">
        <is>
          <t>TOMELILLA</t>
        </is>
      </c>
      <c r="I126" t="n">
        <v>0.3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44675-2024</t>
        </is>
      </c>
      <c r="B127" t="inlineStr">
        <is>
          <t>avverkningsanmälan</t>
        </is>
      </c>
      <c r="C127" t="inlineStr">
        <is>
          <t>Avverkning för att bevara och utveckla /försöksver</t>
        </is>
      </c>
      <c r="D127" s="1" t="n">
        <v>45574</v>
      </c>
      <c r="E127" s="1" t="n">
        <v>46322</v>
      </c>
      <c r="F127" t="inlineStr">
        <is>
          <t>SKÅNE LÄN</t>
        </is>
      </c>
      <c r="G127" t="inlineStr">
        <is>
          <t>TOMELILLA</t>
        </is>
      </c>
      <c r="H127" t="inlineStr">
        <is>
          <t>Sveaskog</t>
        </is>
      </c>
      <c r="I127" t="n">
        <v>11.2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26473-2024</t>
        </is>
      </c>
      <c r="B128" t="inlineStr">
        <is>
          <t>avverkningsanmälan</t>
        </is>
      </c>
      <c r="C128" t="inlineStr">
        <is>
          <t>Föryngringsavverkning</t>
        </is>
      </c>
      <c r="D128" s="1" t="n">
        <v>45469</v>
      </c>
      <c r="E128" s="1" t="n">
        <v>46322</v>
      </c>
      <c r="F128" t="inlineStr">
        <is>
          <t>SKÅNE LÄN</t>
        </is>
      </c>
      <c r="G128" t="inlineStr">
        <is>
          <t>TOMELILLA</t>
        </is>
      </c>
      <c r="I128" t="n">
        <v>4.4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51031-2023</t>
        </is>
      </c>
      <c r="B129" t="inlineStr">
        <is>
          <t>avverkningsanmälan</t>
        </is>
      </c>
      <c r="C129" t="inlineStr">
        <is>
          <t>Föryngringsavverkning</t>
        </is>
      </c>
      <c r="D129" s="1" t="n">
        <v>45211</v>
      </c>
      <c r="E129" s="1" t="n">
        <v>46322</v>
      </c>
      <c r="F129" t="inlineStr">
        <is>
          <t>SKÅNE LÄN</t>
        </is>
      </c>
      <c r="G129" t="inlineStr">
        <is>
          <t>TOMELILLA</t>
        </is>
      </c>
      <c r="I129" t="n">
        <v>1.2</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7745-2025</t>
        </is>
      </c>
      <c r="B130" t="inlineStr">
        <is>
          <t>avverkningsanmälan</t>
        </is>
      </c>
      <c r="C130" t="inlineStr">
        <is>
          <t>Avverkning för annat ändamål</t>
        </is>
      </c>
      <c r="D130" s="1" t="n">
        <v>45706</v>
      </c>
      <c r="E130" s="1" t="n">
        <v>46322</v>
      </c>
      <c r="F130" t="inlineStr">
        <is>
          <t>SKÅNE LÄN</t>
        </is>
      </c>
      <c r="G130" t="inlineStr">
        <is>
          <t>TOMELILLA</t>
        </is>
      </c>
      <c r="I130" t="n">
        <v>0.4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32948-2026</t>
        </is>
      </c>
      <c r="B131" t="inlineStr">
        <is>
          <t>avverkningsanmälan</t>
        </is>
      </c>
      <c r="C131" t="inlineStr">
        <is>
          <t>Föryngringsavverkning</t>
        </is>
      </c>
      <c r="D131" s="1" t="n">
        <v>46244</v>
      </c>
      <c r="E131" s="1" t="n">
        <v>46322</v>
      </c>
      <c r="F131" t="inlineStr">
        <is>
          <t>SKÅNE LÄN</t>
        </is>
      </c>
      <c r="G131" t="inlineStr">
        <is>
          <t>TOMELILLA</t>
        </is>
      </c>
      <c r="I131" t="n">
        <v>1.9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5565-2024</t>
        </is>
      </c>
      <c r="B132" t="inlineStr">
        <is>
          <t>avverkningsanmälan</t>
        </is>
      </c>
      <c r="C132" t="inlineStr">
        <is>
          <t>Föryngringsavverkning</t>
        </is>
      </c>
      <c r="D132" s="1" t="n">
        <v>45334</v>
      </c>
      <c r="E132" s="1" t="n">
        <v>46322</v>
      </c>
      <c r="F132" t="inlineStr">
        <is>
          <t>SKÅNE LÄN</t>
        </is>
      </c>
      <c r="G132" t="inlineStr">
        <is>
          <t>TOMELILLA</t>
        </is>
      </c>
      <c r="I132" t="n">
        <v>2.9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23310-2022</t>
        </is>
      </c>
      <c r="B133" t="inlineStr">
        <is>
          <t>avverkningsanmälan</t>
        </is>
      </c>
      <c r="C133" t="inlineStr">
        <is>
          <t>Föryngringsavverkning</t>
        </is>
      </c>
      <c r="D133" s="1" t="n">
        <v>44720</v>
      </c>
      <c r="E133" s="1" t="n">
        <v>46322</v>
      </c>
      <c r="F133" t="inlineStr">
        <is>
          <t>SKÅNE LÄN</t>
        </is>
      </c>
      <c r="G133" t="inlineStr">
        <is>
          <t>TOMELILLA</t>
        </is>
      </c>
      <c r="H133" t="inlineStr">
        <is>
          <t>Övriga Aktiebolag</t>
        </is>
      </c>
      <c r="I133" t="n">
        <v>5.3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7955-2024</t>
        </is>
      </c>
      <c r="B134" t="inlineStr">
        <is>
          <t>avverkningsanmälan</t>
        </is>
      </c>
      <c r="C134" t="inlineStr">
        <is>
          <t>Föryngringsavverkning</t>
        </is>
      </c>
      <c r="D134" s="1" t="n">
        <v>45350</v>
      </c>
      <c r="E134" s="1" t="n">
        <v>46322</v>
      </c>
      <c r="F134" t="inlineStr">
        <is>
          <t>SKÅNE LÄN</t>
        </is>
      </c>
      <c r="G134" t="inlineStr">
        <is>
          <t>TOMELILLA</t>
        </is>
      </c>
      <c r="I134" t="n">
        <v>2.2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35897-2026</t>
        </is>
      </c>
      <c r="B135" t="inlineStr">
        <is>
          <t>avverkningsanmälan</t>
        </is>
      </c>
      <c r="C135" t="inlineStr">
        <is>
          <t>Föryngringsavverkning</t>
        </is>
      </c>
      <c r="D135" s="1" t="n">
        <v>46266</v>
      </c>
      <c r="E135" s="1" t="n">
        <v>46322</v>
      </c>
      <c r="F135" t="inlineStr">
        <is>
          <t>SKÅNE LÄN</t>
        </is>
      </c>
      <c r="G135" t="inlineStr">
        <is>
          <t>TOMELILLA</t>
        </is>
      </c>
      <c r="I135" t="n">
        <v>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55676-2022</t>
        </is>
      </c>
      <c r="B136" t="inlineStr">
        <is>
          <t>avverkningsanmälan</t>
        </is>
      </c>
      <c r="C136" t="inlineStr">
        <is>
          <t>Föryngringsavverkning</t>
        </is>
      </c>
      <c r="D136" s="1" t="n">
        <v>44888</v>
      </c>
      <c r="E136" s="1" t="n">
        <v>46322</v>
      </c>
      <c r="F136" t="inlineStr">
        <is>
          <t>SKÅNE LÄN</t>
        </is>
      </c>
      <c r="G136" t="inlineStr">
        <is>
          <t>TOMELILLA</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10908-2026</t>
        </is>
      </c>
      <c r="B137" t="inlineStr">
        <is>
          <t>avverkningsanmälan</t>
        </is>
      </c>
      <c r="C137" t="inlineStr">
        <is>
          <t>Föryngringsavverkning</t>
        </is>
      </c>
      <c r="D137" s="1" t="n">
        <v>46079</v>
      </c>
      <c r="E137" s="1" t="n">
        <v>46322</v>
      </c>
      <c r="F137" t="inlineStr">
        <is>
          <t>SKÅNE LÄN</t>
        </is>
      </c>
      <c r="G137" t="inlineStr">
        <is>
          <t>TOMELILLA</t>
        </is>
      </c>
      <c r="I137" t="n">
        <v>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43306-2025</t>
        </is>
      </c>
      <c r="B138" t="inlineStr">
        <is>
          <t>avverkningsanmälan</t>
        </is>
      </c>
      <c r="C138" t="inlineStr">
        <is>
          <t>Föryngringsavverkning</t>
        </is>
      </c>
      <c r="D138" s="1" t="n">
        <v>45910</v>
      </c>
      <c r="E138" s="1" t="n">
        <v>46322</v>
      </c>
      <c r="F138" t="inlineStr">
        <is>
          <t>SKÅNE LÄN</t>
        </is>
      </c>
      <c r="G138" t="inlineStr">
        <is>
          <t>TOMELILLA</t>
        </is>
      </c>
      <c r="I138" t="n">
        <v>1.3</v>
      </c>
      <c r="J138" t="n">
        <v>0</v>
      </c>
      <c r="K138" t="n">
        <v>0</v>
      </c>
      <c r="L138" t="n">
        <v>0</v>
      </c>
      <c r="M138" t="n">
        <v>0</v>
      </c>
      <c r="N138" t="n">
        <v>0</v>
      </c>
      <c r="O138" t="n">
        <v>0</v>
      </c>
      <c r="P138" t="n">
        <v>0</v>
      </c>
      <c r="Q138" t="n">
        <v>0</v>
      </c>
      <c r="R138" t="n">
        <v>0</v>
      </c>
      <c r="S138" t="n">
        <v>0</v>
      </c>
      <c r="T138" t="n">
        <v>0</v>
      </c>
      <c r="U138" t="n">
        <v>0</v>
      </c>
      <c r="V138" s="2" t="inlineStr"/>
    </row>
    <row r="139">
      <c r="A139" t="inlineStr">
        <is>
          <t>S 3422-2024</t>
        </is>
      </c>
      <c r="B139" t="inlineStr">
        <is>
          <t>samrådsanmälan</t>
        </is>
      </c>
      <c r="C139" t="inlineStr">
        <is>
          <t>Annan skogsbruksåtgärd</t>
        </is>
      </c>
      <c r="D139" s="1" t="n">
        <v>45537</v>
      </c>
      <c r="E139" s="1" t="n">
        <v>46322</v>
      </c>
      <c r="F139" t="inlineStr">
        <is>
          <t>SKÅNE LÄN</t>
        </is>
      </c>
      <c r="G139" t="inlineStr">
        <is>
          <t>TOMELILLA</t>
        </is>
      </c>
      <c r="H139" t="inlineStr">
        <is>
          <t>Sveaskog</t>
        </is>
      </c>
      <c r="I139" t="n">
        <v>0.1</v>
      </c>
      <c r="J139" t="n">
        <v>0</v>
      </c>
      <c r="K139" t="n">
        <v>0</v>
      </c>
      <c r="L139" t="n">
        <v>0</v>
      </c>
      <c r="M139" t="n">
        <v>0</v>
      </c>
      <c r="N139" t="n">
        <v>0</v>
      </c>
      <c r="O139" t="n">
        <v>0</v>
      </c>
      <c r="P139" t="n">
        <v>0</v>
      </c>
      <c r="Q139" t="n">
        <v>0</v>
      </c>
      <c r="R139" t="n">
        <v>0</v>
      </c>
      <c r="S139" t="n">
        <v>0</v>
      </c>
      <c r="T139" t="n">
        <v>0</v>
      </c>
      <c r="U139" t="n">
        <v>0</v>
      </c>
      <c r="V1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2026-10-27T03:12:58Z</dcterms:created>
  <dcterms:modified xmlns:dcterms="http://purl.org/dc/terms/" xmlns:xsi="http://www.w3.org/2001/XMLSchema-instance" xsi:type="dcterms:W3CDTF">2026-10-27T03:12:58Z</dcterms:modified>
</cp:coreProperties>
</file>