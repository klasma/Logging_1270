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45784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45784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45784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45784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45784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45784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45784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45784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45784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60820-2023</t>
        </is>
      </c>
      <c r="B11" s="1" t="n">
        <v>45260</v>
      </c>
      <c r="C11" s="1" t="n">
        <v>45784</v>
      </c>
      <c r="D11" t="inlineStr">
        <is>
          <t>SKÅNE LÄN</t>
        </is>
      </c>
      <c r="E11" t="inlineStr">
        <is>
          <t>TOMELILLA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HYPERLINK("https://klasma.github.io/Logging_1270/artfynd/A 60820-2023 artfynd.xlsx", "A 60820-2023")</f>
        <v/>
      </c>
      <c r="T11">
        <f>HYPERLINK("https://klasma.github.io/Logging_1270/kartor/A 60820-2023 karta.png", "A 60820-2023")</f>
        <v/>
      </c>
      <c r="V11">
        <f>HYPERLINK("https://klasma.github.io/Logging_1270/klagomål/A 60820-2023 FSC-klagomål.docx", "A 60820-2023")</f>
        <v/>
      </c>
      <c r="W11">
        <f>HYPERLINK("https://klasma.github.io/Logging_1270/klagomålsmail/A 60820-2023 FSC-klagomål mail.docx", "A 60820-2023")</f>
        <v/>
      </c>
      <c r="X11">
        <f>HYPERLINK("https://klasma.github.io/Logging_1270/tillsyn/A 60820-2023 tillsynsbegäran.docx", "A 60820-2023")</f>
        <v/>
      </c>
      <c r="Y11">
        <f>HYPERLINK("https://klasma.github.io/Logging_1270/tillsynsmail/A 60820-2023 tillsynsbegäran mail.docx", "A 60820-2023")</f>
        <v/>
      </c>
    </row>
    <row r="12" ht="15" customHeight="1">
      <c r="A12" t="inlineStr">
        <is>
          <t>A 561-2024</t>
        </is>
      </c>
      <c r="B12" s="1" t="n">
        <v>45299</v>
      </c>
      <c r="C12" s="1" t="n">
        <v>45784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22.1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Vanlig snok</t>
        </is>
      </c>
      <c r="S12">
        <f>HYPERLINK("https://klasma.github.io/Logging_1270/artfynd/A 561-2024 artfynd.xlsx", "A 561-2024")</f>
        <v/>
      </c>
      <c r="T12">
        <f>HYPERLINK("https://klasma.github.io/Logging_1270/kartor/A 561-2024 karta.png", "A 561-2024")</f>
        <v/>
      </c>
      <c r="V12">
        <f>HYPERLINK("https://klasma.github.io/Logging_1270/klagomål/A 561-2024 FSC-klagomål.docx", "A 561-2024")</f>
        <v/>
      </c>
      <c r="W12">
        <f>HYPERLINK("https://klasma.github.io/Logging_1270/klagomålsmail/A 561-2024 FSC-klagomål mail.docx", "A 561-2024")</f>
        <v/>
      </c>
      <c r="X12">
        <f>HYPERLINK("https://klasma.github.io/Logging_1270/tillsyn/A 561-2024 tillsynsbegäran.docx", "A 561-2024")</f>
        <v/>
      </c>
      <c r="Y12">
        <f>HYPERLINK("https://klasma.github.io/Logging_1270/tillsynsmail/A 561-2024 tillsynsbegäran mail.docx", "A 561-2024")</f>
        <v/>
      </c>
    </row>
    <row r="13" ht="15" customHeight="1">
      <c r="A13" t="inlineStr">
        <is>
          <t>A 756-2024</t>
        </is>
      </c>
      <c r="B13" s="1" t="n">
        <v>45300</v>
      </c>
      <c r="C13" s="1" t="n">
        <v>45784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13.1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HYPERLINK("https://klasma.github.io/Logging_1270/artfynd/A 756-2024 artfynd.xlsx", "A 756-2024")</f>
        <v/>
      </c>
      <c r="T13">
        <f>HYPERLINK("https://klasma.github.io/Logging_1270/kartor/A 756-2024 karta.png", "A 756-2024")</f>
        <v/>
      </c>
      <c r="V13">
        <f>HYPERLINK("https://klasma.github.io/Logging_1270/klagomål/A 756-2024 FSC-klagomål.docx", "A 756-2024")</f>
        <v/>
      </c>
      <c r="W13">
        <f>HYPERLINK("https://klasma.github.io/Logging_1270/klagomålsmail/A 756-2024 FSC-klagomål mail.docx", "A 756-2024")</f>
        <v/>
      </c>
      <c r="X13">
        <f>HYPERLINK("https://klasma.github.io/Logging_1270/tillsyn/A 756-2024 tillsynsbegäran.docx", "A 756-2024")</f>
        <v/>
      </c>
      <c r="Y13">
        <f>HYPERLINK("https://klasma.github.io/Logging_1270/tillsynsmail/A 756-2024 tillsynsbegäran mail.docx", "A 756-2024")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45784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45784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45784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45784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45784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45784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45784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45784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45784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45784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45784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45784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45784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45784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45784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45784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45784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45784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45784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45784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45784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45784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45784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45784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45784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45784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45784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45784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45784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45784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45784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45784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45784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45784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45784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45784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45784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45784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45784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45784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45784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45784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45784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45784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45784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45784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45784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45784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45784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45784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45784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45784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45784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45784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45784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45784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45784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45784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45784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45784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45784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45784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45784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45784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45784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45784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45784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45784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45784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45784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45784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45784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45784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45784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45784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45784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45784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45784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45784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45784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45784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45784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45784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45784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45784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45784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45784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45784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45784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45784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45784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45784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45784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45784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45784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45784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45784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45784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45784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45784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45784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45784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45784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45784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45784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45784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45784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45784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45784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45784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45784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45784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45784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45784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45784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45784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45784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45784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45784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45784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45784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45784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45784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45784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45784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45784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45784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45784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45784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45784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45784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45784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45784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45784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45784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45784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45784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45784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45784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45784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45784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45784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45784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45784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45784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45784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45784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45784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45784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45784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45784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45784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45784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45784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45784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45784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45784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45784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45784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45784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45784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45784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45784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45784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45784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45784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45784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45784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45784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45784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45784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45784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45784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45784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45784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45784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45784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45784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45784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11803-2025</t>
        </is>
      </c>
      <c r="B193" s="1" t="n">
        <v>45727</v>
      </c>
      <c r="C193" s="1" t="n">
        <v>45784</v>
      </c>
      <c r="D193" t="inlineStr">
        <is>
          <t>SKÅNE LÄN</t>
        </is>
      </c>
      <c r="E193" t="inlineStr">
        <is>
          <t>TOMELILLA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11807-2025</t>
        </is>
      </c>
      <c r="B194" s="1" t="n">
        <v>45727</v>
      </c>
      <c r="C194" s="1" t="n">
        <v>45784</v>
      </c>
      <c r="D194" t="inlineStr">
        <is>
          <t>SKÅNE LÄN</t>
        </is>
      </c>
      <c r="E194" t="inlineStr">
        <is>
          <t>TOMELILLA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11810-2025</t>
        </is>
      </c>
      <c r="B195" s="1" t="n">
        <v>45727</v>
      </c>
      <c r="C195" s="1" t="n">
        <v>45784</v>
      </c>
      <c r="D195" t="inlineStr">
        <is>
          <t>SKÅNE LÄN</t>
        </is>
      </c>
      <c r="E195" t="inlineStr">
        <is>
          <t>TOMELILLA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11804-2025</t>
        </is>
      </c>
      <c r="B196" s="1" t="n">
        <v>45727</v>
      </c>
      <c r="C196" s="1" t="n">
        <v>45784</v>
      </c>
      <c r="D196" t="inlineStr">
        <is>
          <t>SKÅNE LÄN</t>
        </is>
      </c>
      <c r="E196" t="inlineStr">
        <is>
          <t>TOMELILLA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11806-2025</t>
        </is>
      </c>
      <c r="B197" s="1" t="n">
        <v>45727</v>
      </c>
      <c r="C197" s="1" t="n">
        <v>45784</v>
      </c>
      <c r="D197" t="inlineStr">
        <is>
          <t>SKÅNE LÄN</t>
        </is>
      </c>
      <c r="E197" t="inlineStr">
        <is>
          <t>TOMELILLA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11811-2025</t>
        </is>
      </c>
      <c r="B198" s="1" t="n">
        <v>45727</v>
      </c>
      <c r="C198" s="1" t="n">
        <v>45784</v>
      </c>
      <c r="D198" t="inlineStr">
        <is>
          <t>SKÅNE LÄN</t>
        </is>
      </c>
      <c r="E198" t="inlineStr">
        <is>
          <t>TOMELILLA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45784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45784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45784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15921-2025</t>
        </is>
      </c>
      <c r="B202" s="1" t="n">
        <v>45749</v>
      </c>
      <c r="C202" s="1" t="n">
        <v>45784</v>
      </c>
      <c r="D202" t="inlineStr">
        <is>
          <t>SKÅNE LÄN</t>
        </is>
      </c>
      <c r="E202" t="inlineStr">
        <is>
          <t>TOMELILLA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15917-2025</t>
        </is>
      </c>
      <c r="B203" s="1" t="n">
        <v>45749</v>
      </c>
      <c r="C203" s="1" t="n">
        <v>45784</v>
      </c>
      <c r="D203" t="inlineStr">
        <is>
          <t>SKÅNE LÄN</t>
        </is>
      </c>
      <c r="E203" t="inlineStr">
        <is>
          <t>TOMELILLA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17760-2025</t>
        </is>
      </c>
      <c r="B204" s="1" t="n">
        <v>45758</v>
      </c>
      <c r="C204" s="1" t="n">
        <v>45784</v>
      </c>
      <c r="D204" t="inlineStr">
        <is>
          <t>SKÅNE LÄN</t>
        </is>
      </c>
      <c r="E204" t="inlineStr">
        <is>
          <t>TOMELILLA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18839-2025</t>
        </is>
      </c>
      <c r="B205" s="1" t="n">
        <v>45764</v>
      </c>
      <c r="C205" s="1" t="n">
        <v>45784</v>
      </c>
      <c r="D205" t="inlineStr">
        <is>
          <t>SKÅNE LÄN</t>
        </is>
      </c>
      <c r="E205" t="inlineStr">
        <is>
          <t>TOMELILLA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2025-05-07T17:25:24Z</dcterms:created>
  <dcterms:modified xmlns:dcterms="http://purl.org/dc/terms/" xmlns:xsi="http://www.w3.org/2001/XMLSchema-instance" xsi:type="dcterms:W3CDTF">2025-05-07T17:25:24Z</dcterms:modified>
</cp:coreProperties>
</file>