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45780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9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21</v>
      </c>
      <c r="R2" s="2" t="inlineStr">
        <is>
          <t>Ask
Askvårtlav
Almlav
Fläcklungört
Mulmknäppare
Bokvårtlav
Desmeknopp
Hålnunneört
Jordtistel
Sommarfibbla
Stiftklotterlav
Grov baronmossa
Grå skärelav
Guldlockmossa
Gulnål
Lönnlav
Platt fjädermossa
Rikfruktig blemlav
Strävlosta
Trubbfjädermossa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45780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45780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2018-2024</t>
        </is>
      </c>
      <c r="B5" s="1" t="n">
        <v>45308</v>
      </c>
      <c r="C5" s="1" t="n">
        <v>45780</v>
      </c>
      <c r="D5" t="inlineStr">
        <is>
          <t>SKÅNE LÄN</t>
        </is>
      </c>
      <c r="E5" t="inlineStr">
        <is>
          <t>TOMELILLA</t>
        </is>
      </c>
      <c r="G5" t="n">
        <v>17.2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Åkerkulla
Västlig hakmossa
Röd glada</t>
        </is>
      </c>
      <c r="S5">
        <f>HYPERLINK("https://klasma.github.io/Logging_1270/artfynd/A 2018-2024 artfynd.xlsx", "A 2018-2024")</f>
        <v/>
      </c>
      <c r="T5">
        <f>HYPERLINK("https://klasma.github.io/Logging_1270/kartor/A 2018-2024 karta.png", "A 2018-2024")</f>
        <v/>
      </c>
      <c r="V5">
        <f>HYPERLINK("https://klasma.github.io/Logging_1270/klagomål/A 2018-2024 FSC-klagomål.docx", "A 2018-2024")</f>
        <v/>
      </c>
      <c r="W5">
        <f>HYPERLINK("https://klasma.github.io/Logging_1270/klagomålsmail/A 2018-2024 FSC-klagomål mail.docx", "A 2018-2024")</f>
        <v/>
      </c>
      <c r="X5">
        <f>HYPERLINK("https://klasma.github.io/Logging_1270/tillsyn/A 2018-2024 tillsynsbegäran.docx", "A 2018-2024")</f>
        <v/>
      </c>
      <c r="Y5">
        <f>HYPERLINK("https://klasma.github.io/Logging_1270/tillsynsmail/A 2018-2024 tillsynsbegäran mail.docx", "A 2018-2024")</f>
        <v/>
      </c>
      <c r="Z5">
        <f>HYPERLINK("https://klasma.github.io/Logging_1270/fåglar/A 2018-2024 prioriterade fågelarter.docx", "A 2018-2024")</f>
        <v/>
      </c>
    </row>
    <row r="6" ht="15" customHeight="1">
      <c r="A6" t="inlineStr">
        <is>
          <t>A 28124-2021</t>
        </is>
      </c>
      <c r="B6" s="1" t="n">
        <v>44355</v>
      </c>
      <c r="C6" s="1" t="n">
        <v>45780</v>
      </c>
      <c r="D6" t="inlineStr">
        <is>
          <t>SKÅNE LÄN</t>
        </is>
      </c>
      <c r="E6" t="inlineStr">
        <is>
          <t>TOMELILLA</t>
        </is>
      </c>
      <c r="F6" t="inlineStr">
        <is>
          <t>Övriga Aktiebolag</t>
        </is>
      </c>
      <c r="G6" t="n">
        <v>7.4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Bokvårtlav
Guldlockmossa</t>
        </is>
      </c>
      <c r="S6">
        <f>HYPERLINK("https://klasma.github.io/Logging_1270/artfynd/A 28124-2021 artfynd.xlsx", "A 28124-2021")</f>
        <v/>
      </c>
      <c r="T6">
        <f>HYPERLINK("https://klasma.github.io/Logging_1270/kartor/A 28124-2021 karta.png", "A 28124-2021")</f>
        <v/>
      </c>
      <c r="V6">
        <f>HYPERLINK("https://klasma.github.io/Logging_1270/klagomål/A 28124-2021 FSC-klagomål.docx", "A 28124-2021")</f>
        <v/>
      </c>
      <c r="W6">
        <f>HYPERLINK("https://klasma.github.io/Logging_1270/klagomålsmail/A 28124-2021 FSC-klagomål mail.docx", "A 28124-2021")</f>
        <v/>
      </c>
      <c r="X6">
        <f>HYPERLINK("https://klasma.github.io/Logging_1270/tillsyn/A 28124-2021 tillsynsbegäran.docx", "A 28124-2021")</f>
        <v/>
      </c>
      <c r="Y6">
        <f>HYPERLINK("https://klasma.github.io/Logging_1270/tillsynsmail/A 28124-2021 tillsynsbegäran mail.docx", "A 28124-2021")</f>
        <v/>
      </c>
    </row>
    <row r="7" ht="15" customHeight="1">
      <c r="A7" t="inlineStr">
        <is>
          <t>A 8188-2024</t>
        </is>
      </c>
      <c r="B7" s="1" t="n">
        <v>45338</v>
      </c>
      <c r="C7" s="1" t="n">
        <v>45780</v>
      </c>
      <c r="D7" t="inlineStr">
        <is>
          <t>SKÅNE LÄN</t>
        </is>
      </c>
      <c r="E7" t="inlineStr">
        <is>
          <t>TOMELILLA</t>
        </is>
      </c>
      <c r="F7" t="inlineStr">
        <is>
          <t>Kyrkan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Kransrams</t>
        </is>
      </c>
      <c r="S7">
        <f>HYPERLINK("https://klasma.github.io/Logging_1270/artfynd/A 8188-2024 artfynd.xlsx", "A 8188-2024")</f>
        <v/>
      </c>
      <c r="T7">
        <f>HYPERLINK("https://klasma.github.io/Logging_1270/kartor/A 8188-2024 karta.png", "A 8188-2024")</f>
        <v/>
      </c>
      <c r="V7">
        <f>HYPERLINK("https://klasma.github.io/Logging_1270/klagomål/A 8188-2024 FSC-klagomål.docx", "A 8188-2024")</f>
        <v/>
      </c>
      <c r="W7">
        <f>HYPERLINK("https://klasma.github.io/Logging_1270/klagomålsmail/A 8188-2024 FSC-klagomål mail.docx", "A 8188-2024")</f>
        <v/>
      </c>
      <c r="X7">
        <f>HYPERLINK("https://klasma.github.io/Logging_1270/tillsyn/A 8188-2024 tillsynsbegäran.docx", "A 8188-2024")</f>
        <v/>
      </c>
      <c r="Y7">
        <f>HYPERLINK("https://klasma.github.io/Logging_1270/tillsynsmail/A 8188-2024 tillsynsbegäran mail.docx", "A 8188-2024")</f>
        <v/>
      </c>
    </row>
    <row r="8" ht="15" customHeight="1">
      <c r="A8" t="inlineStr">
        <is>
          <t>A 11722-2020</t>
        </is>
      </c>
      <c r="B8" s="1" t="n">
        <v>43892</v>
      </c>
      <c r="C8" s="1" t="n">
        <v>45780</v>
      </c>
      <c r="D8" t="inlineStr">
        <is>
          <t>SKÅNE LÄN</t>
        </is>
      </c>
      <c r="E8" t="inlineStr">
        <is>
          <t>TOMELILLA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Sprengelsbjörnbär</t>
        </is>
      </c>
      <c r="S8">
        <f>HYPERLINK("https://klasma.github.io/Logging_1270/artfynd/A 11722-2020 artfynd.xlsx", "A 11722-2020")</f>
        <v/>
      </c>
      <c r="T8">
        <f>HYPERLINK("https://klasma.github.io/Logging_1270/kartor/A 11722-2020 karta.png", "A 11722-2020")</f>
        <v/>
      </c>
      <c r="V8">
        <f>HYPERLINK("https://klasma.github.io/Logging_1270/klagomål/A 11722-2020 FSC-klagomål.docx", "A 11722-2020")</f>
        <v/>
      </c>
      <c r="W8">
        <f>HYPERLINK("https://klasma.github.io/Logging_1270/klagomålsmail/A 11722-2020 FSC-klagomål mail.docx", "A 11722-2020")</f>
        <v/>
      </c>
      <c r="X8">
        <f>HYPERLINK("https://klasma.github.io/Logging_1270/tillsyn/A 11722-2020 tillsynsbegäran.docx", "A 11722-2020")</f>
        <v/>
      </c>
      <c r="Y8">
        <f>HYPERLINK("https://klasma.github.io/Logging_1270/tillsynsmail/A 11722-2020 tillsynsbegäran mail.docx", "A 11722-2020")</f>
        <v/>
      </c>
    </row>
    <row r="9" ht="15" customHeight="1">
      <c r="A9" t="inlineStr">
        <is>
          <t>A 17496-2020</t>
        </is>
      </c>
      <c r="B9" s="1" t="n">
        <v>43923</v>
      </c>
      <c r="C9" s="1" t="n">
        <v>45780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HYPERLINK("https://klasma.github.io/Logging_1270/artfynd/A 17496-2020 artfynd.xlsx", "A 17496-2020")</f>
        <v/>
      </c>
      <c r="T9">
        <f>HYPERLINK("https://klasma.github.io/Logging_1270/kartor/A 17496-2020 karta.png", "A 17496-2020")</f>
        <v/>
      </c>
      <c r="V9">
        <f>HYPERLINK("https://klasma.github.io/Logging_1270/klagomål/A 17496-2020 FSC-klagomål.docx", "A 17496-2020")</f>
        <v/>
      </c>
      <c r="W9">
        <f>HYPERLINK("https://klasma.github.io/Logging_1270/klagomålsmail/A 17496-2020 FSC-klagomål mail.docx", "A 17496-2020")</f>
        <v/>
      </c>
      <c r="X9">
        <f>HYPERLINK("https://klasma.github.io/Logging_1270/tillsyn/A 17496-2020 tillsynsbegäran.docx", "A 17496-2020")</f>
        <v/>
      </c>
      <c r="Y9">
        <f>HYPERLINK("https://klasma.github.io/Logging_1270/tillsynsmail/A 17496-2020 tillsynsbegäran mail.docx", "A 17496-2020")</f>
        <v/>
      </c>
    </row>
    <row r="10" ht="15" customHeight="1">
      <c r="A10" t="inlineStr">
        <is>
          <t>A 23466-2022</t>
        </is>
      </c>
      <c r="B10" s="1" t="n">
        <v>44721</v>
      </c>
      <c r="C10" s="1" t="n">
        <v>45780</v>
      </c>
      <c r="D10" t="inlineStr">
        <is>
          <t>SKÅNE LÄN</t>
        </is>
      </c>
      <c r="E10" t="inlineStr">
        <is>
          <t>TOMELILLA</t>
        </is>
      </c>
      <c r="F10" t="inlineStr">
        <is>
          <t>Övriga Aktiebolag</t>
        </is>
      </c>
      <c r="G10" t="n">
        <v>6.3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Skogslysing</t>
        </is>
      </c>
      <c r="S10">
        <f>HYPERLINK("https://klasma.github.io/Logging_1270/artfynd/A 23466-2022 artfynd.xlsx", "A 23466-2022")</f>
        <v/>
      </c>
      <c r="T10">
        <f>HYPERLINK("https://klasma.github.io/Logging_1270/kartor/A 23466-2022 karta.png", "A 23466-2022")</f>
        <v/>
      </c>
      <c r="V10">
        <f>HYPERLINK("https://klasma.github.io/Logging_1270/klagomål/A 23466-2022 FSC-klagomål.docx", "A 23466-2022")</f>
        <v/>
      </c>
      <c r="W10">
        <f>HYPERLINK("https://klasma.github.io/Logging_1270/klagomålsmail/A 23466-2022 FSC-klagomål mail.docx", "A 23466-2022")</f>
        <v/>
      </c>
      <c r="X10">
        <f>HYPERLINK("https://klasma.github.io/Logging_1270/tillsyn/A 23466-2022 tillsynsbegäran.docx", "A 23466-2022")</f>
        <v/>
      </c>
      <c r="Y10">
        <f>HYPERLINK("https://klasma.github.io/Logging_1270/tillsynsmail/A 23466-2022 tillsynsbegäran mail.docx", "A 23466-2022")</f>
        <v/>
      </c>
    </row>
    <row r="11" ht="15" customHeight="1">
      <c r="A11" t="inlineStr">
        <is>
          <t>A 60820-2023</t>
        </is>
      </c>
      <c r="B11" s="1" t="n">
        <v>45260</v>
      </c>
      <c r="C11" s="1" t="n">
        <v>45780</v>
      </c>
      <c r="D11" t="inlineStr">
        <is>
          <t>SKÅNE LÄN</t>
        </is>
      </c>
      <c r="E11" t="inlineStr">
        <is>
          <t>TOMELILLA</t>
        </is>
      </c>
      <c r="G11" t="n">
        <v>4.6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Guldlockmossa</t>
        </is>
      </c>
      <c r="S11">
        <f>HYPERLINK("https://klasma.github.io/Logging_1270/artfynd/A 60820-2023 artfynd.xlsx", "A 60820-2023")</f>
        <v/>
      </c>
      <c r="T11">
        <f>HYPERLINK("https://klasma.github.io/Logging_1270/kartor/A 60820-2023 karta.png", "A 60820-2023")</f>
        <v/>
      </c>
      <c r="V11">
        <f>HYPERLINK("https://klasma.github.io/Logging_1270/klagomål/A 60820-2023 FSC-klagomål.docx", "A 60820-2023")</f>
        <v/>
      </c>
      <c r="W11">
        <f>HYPERLINK("https://klasma.github.io/Logging_1270/klagomålsmail/A 60820-2023 FSC-klagomål mail.docx", "A 60820-2023")</f>
        <v/>
      </c>
      <c r="X11">
        <f>HYPERLINK("https://klasma.github.io/Logging_1270/tillsyn/A 60820-2023 tillsynsbegäran.docx", "A 60820-2023")</f>
        <v/>
      </c>
      <c r="Y11">
        <f>HYPERLINK("https://klasma.github.io/Logging_1270/tillsynsmail/A 60820-2023 tillsynsbegäran mail.docx", "A 60820-2023")</f>
        <v/>
      </c>
    </row>
    <row r="12" ht="15" customHeight="1">
      <c r="A12" t="inlineStr">
        <is>
          <t>A 561-2024</t>
        </is>
      </c>
      <c r="B12" s="1" t="n">
        <v>45299</v>
      </c>
      <c r="C12" s="1" t="n">
        <v>45780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22.1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snok</t>
        </is>
      </c>
      <c r="S12">
        <f>HYPERLINK("https://klasma.github.io/Logging_1270/artfynd/A 561-2024 artfynd.xlsx", "A 561-2024")</f>
        <v/>
      </c>
      <c r="T12">
        <f>HYPERLINK("https://klasma.github.io/Logging_1270/kartor/A 561-2024 karta.png", "A 561-2024")</f>
        <v/>
      </c>
      <c r="V12">
        <f>HYPERLINK("https://klasma.github.io/Logging_1270/klagomål/A 561-2024 FSC-klagomål.docx", "A 561-2024")</f>
        <v/>
      </c>
      <c r="W12">
        <f>HYPERLINK("https://klasma.github.io/Logging_1270/klagomålsmail/A 561-2024 FSC-klagomål mail.docx", "A 561-2024")</f>
        <v/>
      </c>
      <c r="X12">
        <f>HYPERLINK("https://klasma.github.io/Logging_1270/tillsyn/A 561-2024 tillsynsbegäran.docx", "A 561-2024")</f>
        <v/>
      </c>
      <c r="Y12">
        <f>HYPERLINK("https://klasma.github.io/Logging_1270/tillsynsmail/A 561-2024 tillsynsbegäran mail.docx", "A 561-2024")</f>
        <v/>
      </c>
    </row>
    <row r="13" ht="15" customHeight="1">
      <c r="A13" t="inlineStr">
        <is>
          <t>A 756-2024</t>
        </is>
      </c>
      <c r="B13" s="1" t="n">
        <v>45300</v>
      </c>
      <c r="C13" s="1" t="n">
        <v>45780</v>
      </c>
      <c r="D13" t="inlineStr">
        <is>
          <t>SKÅNE LÄN</t>
        </is>
      </c>
      <c r="E13" t="inlineStr">
        <is>
          <t>TOMELILLA</t>
        </is>
      </c>
      <c r="F13" t="inlineStr">
        <is>
          <t>Övriga Aktiebolag</t>
        </is>
      </c>
      <c r="G13" t="n">
        <v>13.1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HYPERLINK("https://klasma.github.io/Logging_1270/artfynd/A 756-2024 artfynd.xlsx", "A 756-2024")</f>
        <v/>
      </c>
      <c r="T13">
        <f>HYPERLINK("https://klasma.github.io/Logging_1270/kartor/A 756-2024 karta.png", "A 756-2024")</f>
        <v/>
      </c>
      <c r="V13">
        <f>HYPERLINK("https://klasma.github.io/Logging_1270/klagomål/A 756-2024 FSC-klagomål.docx", "A 756-2024")</f>
        <v/>
      </c>
      <c r="W13">
        <f>HYPERLINK("https://klasma.github.io/Logging_1270/klagomålsmail/A 756-2024 FSC-klagomål mail.docx", "A 756-2024")</f>
        <v/>
      </c>
      <c r="X13">
        <f>HYPERLINK("https://klasma.github.io/Logging_1270/tillsyn/A 756-2024 tillsynsbegäran.docx", "A 756-2024")</f>
        <v/>
      </c>
      <c r="Y13">
        <f>HYPERLINK("https://klasma.github.io/Logging_1270/tillsynsmail/A 756-2024 tillsynsbegäran mail.docx", "A 756-2024")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45780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45780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45780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45780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45780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45780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45780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45780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45780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45780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45780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45780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45780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45780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45780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45780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45780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45780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45780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45780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45780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45780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45780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45780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45780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45780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45780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45780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45780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45780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45780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45780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45780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45780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45780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45780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45780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45780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45780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45780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45780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45780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45780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45780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45780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45780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45780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45780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45780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45780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45780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45780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45780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45780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45780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45780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45780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45780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45780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45780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45780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45780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45780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45780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45780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45780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45780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45780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45780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45780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45780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45780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45780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45780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45780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45780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45780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45780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45780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45780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45780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45780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45780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45780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45780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45780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45780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45780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45780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45780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45780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45780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45780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45780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45780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45780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45780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45780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45780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45780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45780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45780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45780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45780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45780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45780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45780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45780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45780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45780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45780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45780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45780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45780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45780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45780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45780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45780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45780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45780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45780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45780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45780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45780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45780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45780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45780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45780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45780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45780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45780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45780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45780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45780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45780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45780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45780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45780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45780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45780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45780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45780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45780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45780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45780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45780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45780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45780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45780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45780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45780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45780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45780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45780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45780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45780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45780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45780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45780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45780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45780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45780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45780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45780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45780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45780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45780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45780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45780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45780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45780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45780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45780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45780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45780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45780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3291-2025</t>
        </is>
      </c>
      <c r="B190" s="1" t="n">
        <v>45679</v>
      </c>
      <c r="C190" s="1" t="n">
        <v>45780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6961-2025</t>
        </is>
      </c>
      <c r="B191" s="1" t="n">
        <v>45701</v>
      </c>
      <c r="C191" s="1" t="n">
        <v>45780</v>
      </c>
      <c r="D191" t="inlineStr">
        <is>
          <t>SKÅNE LÄN</t>
        </is>
      </c>
      <c r="E191" t="inlineStr">
        <is>
          <t>TOMELILLA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7745-2025</t>
        </is>
      </c>
      <c r="B192" s="1" t="n">
        <v>45706</v>
      </c>
      <c r="C192" s="1" t="n">
        <v>45780</v>
      </c>
      <c r="D192" t="inlineStr">
        <is>
          <t>SKÅNE LÄN</t>
        </is>
      </c>
      <c r="E192" t="inlineStr">
        <is>
          <t>TOMELILLA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11803-2025</t>
        </is>
      </c>
      <c r="B193" s="1" t="n">
        <v>45727</v>
      </c>
      <c r="C193" s="1" t="n">
        <v>45780</v>
      </c>
      <c r="D193" t="inlineStr">
        <is>
          <t>SKÅNE LÄN</t>
        </is>
      </c>
      <c r="E193" t="inlineStr">
        <is>
          <t>TOMELILLA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11807-2025</t>
        </is>
      </c>
      <c r="B194" s="1" t="n">
        <v>45727</v>
      </c>
      <c r="C194" s="1" t="n">
        <v>45780</v>
      </c>
      <c r="D194" t="inlineStr">
        <is>
          <t>SKÅNE LÄN</t>
        </is>
      </c>
      <c r="E194" t="inlineStr">
        <is>
          <t>TOMELILLA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11810-2025</t>
        </is>
      </c>
      <c r="B195" s="1" t="n">
        <v>45727</v>
      </c>
      <c r="C195" s="1" t="n">
        <v>45780</v>
      </c>
      <c r="D195" t="inlineStr">
        <is>
          <t>SKÅNE LÄN</t>
        </is>
      </c>
      <c r="E195" t="inlineStr">
        <is>
          <t>TOMELILLA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11804-2025</t>
        </is>
      </c>
      <c r="B196" s="1" t="n">
        <v>45727</v>
      </c>
      <c r="C196" s="1" t="n">
        <v>45780</v>
      </c>
      <c r="D196" t="inlineStr">
        <is>
          <t>SKÅNE LÄN</t>
        </is>
      </c>
      <c r="E196" t="inlineStr">
        <is>
          <t>TOMELILLA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11806-2025</t>
        </is>
      </c>
      <c r="B197" s="1" t="n">
        <v>45727</v>
      </c>
      <c r="C197" s="1" t="n">
        <v>45780</v>
      </c>
      <c r="D197" t="inlineStr">
        <is>
          <t>SKÅNE LÄN</t>
        </is>
      </c>
      <c r="E197" t="inlineStr">
        <is>
          <t>TOMELILLA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11811-2025</t>
        </is>
      </c>
      <c r="B198" s="1" t="n">
        <v>45727</v>
      </c>
      <c r="C198" s="1" t="n">
        <v>45780</v>
      </c>
      <c r="D198" t="inlineStr">
        <is>
          <t>SKÅNE LÄN</t>
        </is>
      </c>
      <c r="E198" t="inlineStr">
        <is>
          <t>TOMELILLA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12351-2025</t>
        </is>
      </c>
      <c r="B199" s="1" t="n">
        <v>45730</v>
      </c>
      <c r="C199" s="1" t="n">
        <v>45780</v>
      </c>
      <c r="D199" t="inlineStr">
        <is>
          <t>SKÅNE LÄN</t>
        </is>
      </c>
      <c r="E199" t="inlineStr">
        <is>
          <t>TOMELILLA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15158-2025</t>
        </is>
      </c>
      <c r="B200" s="1" t="n">
        <v>45744</v>
      </c>
      <c r="C200" s="1" t="n">
        <v>45780</v>
      </c>
      <c r="D200" t="inlineStr">
        <is>
          <t>SKÅNE LÄN</t>
        </is>
      </c>
      <c r="E200" t="inlineStr">
        <is>
          <t>TOMELILLA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15305-2025</t>
        </is>
      </c>
      <c r="B201" s="1" t="n">
        <v>45746</v>
      </c>
      <c r="C201" s="1" t="n">
        <v>45780</v>
      </c>
      <c r="D201" t="inlineStr">
        <is>
          <t>SKÅNE LÄN</t>
        </is>
      </c>
      <c r="E201" t="inlineStr">
        <is>
          <t>TOMELILLA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15921-2025</t>
        </is>
      </c>
      <c r="B202" s="1" t="n">
        <v>45749</v>
      </c>
      <c r="C202" s="1" t="n">
        <v>45780</v>
      </c>
      <c r="D202" t="inlineStr">
        <is>
          <t>SKÅNE LÄN</t>
        </is>
      </c>
      <c r="E202" t="inlineStr">
        <is>
          <t>TOMELILLA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15917-2025</t>
        </is>
      </c>
      <c r="B203" s="1" t="n">
        <v>45749</v>
      </c>
      <c r="C203" s="1" t="n">
        <v>45780</v>
      </c>
      <c r="D203" t="inlineStr">
        <is>
          <t>SKÅNE LÄN</t>
        </is>
      </c>
      <c r="E203" t="inlineStr">
        <is>
          <t>TOMELILLA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17760-2025</t>
        </is>
      </c>
      <c r="B204" s="1" t="n">
        <v>45758</v>
      </c>
      <c r="C204" s="1" t="n">
        <v>45780</v>
      </c>
      <c r="D204" t="inlineStr">
        <is>
          <t>SKÅNE LÄN</t>
        </is>
      </c>
      <c r="E204" t="inlineStr">
        <is>
          <t>TOMELILLA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>
      <c r="A205" t="inlineStr">
        <is>
          <t>A 18839-2025</t>
        </is>
      </c>
      <c r="B205" s="1" t="n">
        <v>45764</v>
      </c>
      <c r="C205" s="1" t="n">
        <v>45780</v>
      </c>
      <c r="D205" t="inlineStr">
        <is>
          <t>SKÅNE LÄN</t>
        </is>
      </c>
      <c r="E205" t="inlineStr">
        <is>
          <t>TOMELILLA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2025-05-03T18:08:06Z</dcterms:created>
  <dcterms:modified xmlns:dcterms="http://purl.org/dc/terms/" xmlns:xsi="http://www.w3.org/2001/XMLSchema-instance" xsi:type="dcterms:W3CDTF">2025-05-03T18:08:06Z</dcterms:modified>
</cp:coreProperties>
</file>