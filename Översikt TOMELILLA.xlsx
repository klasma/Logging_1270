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46272</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46272</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46272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46272</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46272</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46272</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46272</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46272</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46272</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46272</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46272</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46272</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2193-2022</t>
        </is>
      </c>
      <c r="B18" t="inlineStr">
        <is>
          <t>avverkningsanmälan</t>
        </is>
      </c>
      <c r="C18" t="inlineStr">
        <is>
          <t>Föryngringsavverkning</t>
        </is>
      </c>
      <c r="D18" s="1" t="n">
        <v>44578</v>
      </c>
      <c r="E18" s="1" t="n">
        <v>46272</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46272</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46272</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46272</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46272</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42387-2022</t>
        </is>
      </c>
      <c r="B23" t="inlineStr">
        <is>
          <t>avverkningsanmälan</t>
        </is>
      </c>
      <c r="C23" t="inlineStr">
        <is>
          <t>Föryngringsavverkning</t>
        </is>
      </c>
      <c r="D23" s="1" t="n">
        <v>44830</v>
      </c>
      <c r="E23" s="1" t="n">
        <v>46272</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32949-2026</t>
        </is>
      </c>
      <c r="B24" t="inlineStr">
        <is>
          <t>avverkningsanmälan</t>
        </is>
      </c>
      <c r="C24" t="inlineStr">
        <is>
          <t>Föryngringsavverkning</t>
        </is>
      </c>
      <c r="D24" s="1" t="n">
        <v>46244</v>
      </c>
      <c r="E24" s="1" t="n">
        <v>46272</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17907-2024</t>
        </is>
      </c>
      <c r="B25" t="inlineStr">
        <is>
          <t>avverkningsanmälan</t>
        </is>
      </c>
      <c r="C25" t="inlineStr">
        <is>
          <t>Föryngringsavverkning</t>
        </is>
      </c>
      <c r="D25" s="1" t="n">
        <v>45419</v>
      </c>
      <c r="E25" s="1" t="n">
        <v>46272</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26823-2026</t>
        </is>
      </c>
      <c r="B26" t="inlineStr">
        <is>
          <t>avverkningsanmälan</t>
        </is>
      </c>
      <c r="C26" t="inlineStr">
        <is>
          <t>Föryngringsavverkning</t>
        </is>
      </c>
      <c r="D26" s="1" t="n">
        <v>46183</v>
      </c>
      <c r="E26" s="1" t="n">
        <v>46272</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20397-2026</t>
        </is>
      </c>
      <c r="B27" t="inlineStr">
        <is>
          <t>avverkningsanmälan</t>
        </is>
      </c>
      <c r="C27" t="inlineStr">
        <is>
          <t>Föryngringsavverkning</t>
        </is>
      </c>
      <c r="D27" s="1" t="n">
        <v>46139</v>
      </c>
      <c r="E27" s="1" t="n">
        <v>46272</v>
      </c>
      <c r="F27" t="inlineStr">
        <is>
          <t>SKÅNE LÄN</t>
        </is>
      </c>
      <c r="G27" t="inlineStr">
        <is>
          <t>TOMELILLA</t>
        </is>
      </c>
      <c r="I27" t="n">
        <v>4.2</v>
      </c>
      <c r="J27" t="n">
        <v>1</v>
      </c>
      <c r="K27" t="n">
        <v>0</v>
      </c>
      <c r="L27" t="n">
        <v>0</v>
      </c>
      <c r="M27" t="n">
        <v>0</v>
      </c>
      <c r="N27" t="n">
        <v>0</v>
      </c>
      <c r="O27" t="n">
        <v>0</v>
      </c>
      <c r="P27" t="n">
        <v>0</v>
      </c>
      <c r="Q27" t="n">
        <v>0</v>
      </c>
      <c r="R27" t="n">
        <v>0</v>
      </c>
      <c r="S27" t="n">
        <v>1</v>
      </c>
      <c r="T27" t="n">
        <v>1</v>
      </c>
      <c r="U27" t="n">
        <v>0</v>
      </c>
      <c r="V27" s="2" t="inlineStr">
        <is>
          <t>Långbensgroda</t>
        </is>
      </c>
      <c r="W27">
        <f>HYPERLINK("https://klasma.github.io/Logging_1270/artfynd/A 20397-2026 artfynd.xlsx", "A 20397-2026")</f>
        <v/>
      </c>
      <c r="X27">
        <f>HYPERLINK("https://klasma.github.io/Logging_1270/kartor/A 20397-2026 karta.png", "A 20397-2026")</f>
        <v/>
      </c>
      <c r="Y27">
        <f>HYPERLINK("https://klasma.github.io/Logging_1270/kartor_geotiff/A 20397-2026 georefererad karta.tif", "A 20397-2026")</f>
        <v/>
      </c>
      <c r="AA27">
        <f>HYPERLINK("https://klasma.github.io/Logging_1270/klagomål/A 20397-2026 FSC-klagomål.docx", "A 20397-2026")</f>
        <v/>
      </c>
      <c r="AB27">
        <f>HYPERLINK("https://klasma.github.io/Logging_1270/klagomålsmail/A 20397-2026 FSC-klagomål mail.docx", "A 20397-2026")</f>
        <v/>
      </c>
      <c r="AC27">
        <f>HYPERLINK("https://klasma.github.io/Logging_1270/tillsyn/A 20397-2026 tillsynsbegäran.docx", "A 20397-2026")</f>
        <v/>
      </c>
      <c r="AD27">
        <f>HYPERLINK("https://klasma.github.io/Logging_1270/tillsynsmail/A 20397-2026 tillsynsbegäran mail.docx", "A 20397-2026")</f>
        <v/>
      </c>
    </row>
    <row r="28" ht="15" customHeight="1">
      <c r="A28" t="inlineStr">
        <is>
          <t>A 18158-2022</t>
        </is>
      </c>
      <c r="B28" t="inlineStr">
        <is>
          <t>avverkningsanmälan</t>
        </is>
      </c>
      <c r="C28" t="inlineStr">
        <is>
          <t>Föryngringsavverkning</t>
        </is>
      </c>
      <c r="D28" s="1" t="n">
        <v>44684</v>
      </c>
      <c r="E28" s="1" t="n">
        <v>46272</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46272</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46272</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46272</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46272</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46272</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46272</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46272</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46272</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2555-2022</t>
        </is>
      </c>
      <c r="B37" t="inlineStr">
        <is>
          <t>avverkningsanmälan</t>
        </is>
      </c>
      <c r="C37" t="inlineStr">
        <is>
          <t>Föryngringsavverkning</t>
        </is>
      </c>
      <c r="D37" s="1" t="n">
        <v>44579</v>
      </c>
      <c r="E37" s="1" t="n">
        <v>46272</v>
      </c>
      <c r="F37" t="inlineStr">
        <is>
          <t>SKÅNE LÄN</t>
        </is>
      </c>
      <c r="G37" t="inlineStr">
        <is>
          <t>TOMELILLA</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46272</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46272</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46272</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45729-2024</t>
        </is>
      </c>
      <c r="B41" t="inlineStr">
        <is>
          <t>avverkningsanmälan</t>
        </is>
      </c>
      <c r="C41" t="inlineStr">
        <is>
          <t>Föryngringsavverkning</t>
        </is>
      </c>
      <c r="D41" s="1" t="n">
        <v>45579</v>
      </c>
      <c r="E41" s="1" t="n">
        <v>46272</v>
      </c>
      <c r="F41" t="inlineStr">
        <is>
          <t>SKÅNE LÄN</t>
        </is>
      </c>
      <c r="G41" t="inlineStr">
        <is>
          <t>TOMELILLA</t>
        </is>
      </c>
      <c r="I41" t="n">
        <v>10.1</v>
      </c>
      <c r="J41" t="n">
        <v>0</v>
      </c>
      <c r="K41" t="n">
        <v>0</v>
      </c>
      <c r="L41" t="n">
        <v>0</v>
      </c>
      <c r="M41" t="n">
        <v>0</v>
      </c>
      <c r="N41" t="n">
        <v>0</v>
      </c>
      <c r="O41" t="n">
        <v>0</v>
      </c>
      <c r="P41" t="n">
        <v>0</v>
      </c>
      <c r="Q41" t="n">
        <v>0</v>
      </c>
      <c r="R41" t="n">
        <v>0</v>
      </c>
      <c r="S41" t="n">
        <v>0</v>
      </c>
      <c r="T41" t="n">
        <v>0</v>
      </c>
      <c r="U41" t="n">
        <v>0</v>
      </c>
      <c r="V41" s="2" t="inlineStr"/>
    </row>
    <row r="42" ht="15" customHeight="1">
      <c r="A42" t="inlineStr">
        <is>
          <t>A 38787-2024</t>
        </is>
      </c>
      <c r="B42" t="inlineStr">
        <is>
          <t>avverkningsanmälan</t>
        </is>
      </c>
      <c r="C42" t="inlineStr">
        <is>
          <t>Föryngringsavverkning</t>
        </is>
      </c>
      <c r="D42" s="1" t="n">
        <v>45547</v>
      </c>
      <c r="E42" s="1" t="n">
        <v>46272</v>
      </c>
      <c r="F42" t="inlineStr">
        <is>
          <t>SKÅNE LÄN</t>
        </is>
      </c>
      <c r="G42" t="inlineStr">
        <is>
          <t>TOMELILLA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11887-2024</t>
        </is>
      </c>
      <c r="B43" t="inlineStr">
        <is>
          <t>avverkningsanmälan</t>
        </is>
      </c>
      <c r="C43" t="inlineStr">
        <is>
          <t>Föryngringsavverkning</t>
        </is>
      </c>
      <c r="D43" s="1" t="n">
        <v>45376</v>
      </c>
      <c r="E43" s="1" t="n">
        <v>46272</v>
      </c>
      <c r="F43" t="inlineStr">
        <is>
          <t>SKÅNE LÄN</t>
        </is>
      </c>
      <c r="G43" t="inlineStr">
        <is>
          <t>TOMELILLA</t>
        </is>
      </c>
      <c r="H43" t="inlineStr">
        <is>
          <t>Övriga Aktiebolag</t>
        </is>
      </c>
      <c r="I43" t="n">
        <v>6.3</v>
      </c>
      <c r="J43" t="n">
        <v>0</v>
      </c>
      <c r="K43" t="n">
        <v>0</v>
      </c>
      <c r="L43" t="n">
        <v>0</v>
      </c>
      <c r="M43" t="n">
        <v>0</v>
      </c>
      <c r="N43" t="n">
        <v>0</v>
      </c>
      <c r="O43" t="n">
        <v>0</v>
      </c>
      <c r="P43" t="n">
        <v>0</v>
      </c>
      <c r="Q43" t="n">
        <v>0</v>
      </c>
      <c r="R43" t="n">
        <v>0</v>
      </c>
      <c r="S43" t="n">
        <v>0</v>
      </c>
      <c r="T43" t="n">
        <v>0</v>
      </c>
      <c r="U43" t="n">
        <v>0</v>
      </c>
      <c r="V43" s="2" t="inlineStr"/>
    </row>
    <row r="44" ht="15" customHeight="1">
      <c r="A44" t="inlineStr">
        <is>
          <t>A 10272-2023</t>
        </is>
      </c>
      <c r="B44" t="inlineStr">
        <is>
          <t>avverkningsanmälan</t>
        </is>
      </c>
      <c r="C44" t="inlineStr">
        <is>
          <t>Föryngringsavverkning</t>
        </is>
      </c>
      <c r="D44" s="1" t="n">
        <v>44986</v>
      </c>
      <c r="E44" s="1" t="n">
        <v>46272</v>
      </c>
      <c r="F44" t="inlineStr">
        <is>
          <t>SKÅNE LÄN</t>
        </is>
      </c>
      <c r="G44" t="inlineStr">
        <is>
          <t>TOMELILLA</t>
        </is>
      </c>
      <c r="H44" t="inlineStr">
        <is>
          <t>Övriga Aktiebolag</t>
        </is>
      </c>
      <c r="I44" t="n">
        <v>7.7</v>
      </c>
      <c r="J44" t="n">
        <v>0</v>
      </c>
      <c r="K44" t="n">
        <v>0</v>
      </c>
      <c r="L44" t="n">
        <v>0</v>
      </c>
      <c r="M44" t="n">
        <v>0</v>
      </c>
      <c r="N44" t="n">
        <v>0</v>
      </c>
      <c r="O44" t="n">
        <v>0</v>
      </c>
      <c r="P44" t="n">
        <v>0</v>
      </c>
      <c r="Q44" t="n">
        <v>0</v>
      </c>
      <c r="R44" t="n">
        <v>0</v>
      </c>
      <c r="S44" t="n">
        <v>0</v>
      </c>
      <c r="T44" t="n">
        <v>0</v>
      </c>
      <c r="U44" t="n">
        <v>0</v>
      </c>
      <c r="V44" s="2" t="inlineStr"/>
    </row>
    <row r="45" ht="15" customHeight="1">
      <c r="A45" t="inlineStr">
        <is>
          <t>A 15012-2024</t>
        </is>
      </c>
      <c r="B45" t="inlineStr">
        <is>
          <t>avverkningsanmälan</t>
        </is>
      </c>
      <c r="C45" t="inlineStr">
        <is>
          <t>Föryngringsavverkning</t>
        </is>
      </c>
      <c r="D45" s="1" t="n">
        <v>45399</v>
      </c>
      <c r="E45" s="1" t="n">
        <v>46272</v>
      </c>
      <c r="F45" t="inlineStr">
        <is>
          <t>SKÅNE LÄN</t>
        </is>
      </c>
      <c r="G45" t="inlineStr">
        <is>
          <t>TOMELILLA</t>
        </is>
      </c>
      <c r="I45" t="n">
        <v>6.9</v>
      </c>
      <c r="J45" t="n">
        <v>0</v>
      </c>
      <c r="K45" t="n">
        <v>0</v>
      </c>
      <c r="L45" t="n">
        <v>0</v>
      </c>
      <c r="M45" t="n">
        <v>0</v>
      </c>
      <c r="N45" t="n">
        <v>0</v>
      </c>
      <c r="O45" t="n">
        <v>0</v>
      </c>
      <c r="P45" t="n">
        <v>0</v>
      </c>
      <c r="Q45" t="n">
        <v>0</v>
      </c>
      <c r="R45" t="n">
        <v>0</v>
      </c>
      <c r="S45" t="n">
        <v>0</v>
      </c>
      <c r="T45" t="n">
        <v>0</v>
      </c>
      <c r="U45" t="n">
        <v>0</v>
      </c>
      <c r="V45" s="2" t="inlineStr"/>
    </row>
    <row r="46" ht="15" customHeight="1">
      <c r="A46" t="inlineStr">
        <is>
          <t>A 11811-2025</t>
        </is>
      </c>
      <c r="B46" t="inlineStr">
        <is>
          <t>avverkningsanmälan</t>
        </is>
      </c>
      <c r="C46" t="inlineStr">
        <is>
          <t>Föryngringsavverkning</t>
        </is>
      </c>
      <c r="D46" s="1" t="n">
        <v>45727</v>
      </c>
      <c r="E46" s="1" t="n">
        <v>46272</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8190-2024</t>
        </is>
      </c>
      <c r="B47" t="inlineStr">
        <is>
          <t>avverkningsanmälan</t>
        </is>
      </c>
      <c r="C47" t="inlineStr">
        <is>
          <t>Föryngringsavverkning</t>
        </is>
      </c>
      <c r="D47" s="1" t="n">
        <v>45338</v>
      </c>
      <c r="E47" s="1" t="n">
        <v>46272</v>
      </c>
      <c r="F47" t="inlineStr">
        <is>
          <t>SKÅNE LÄN</t>
        </is>
      </c>
      <c r="G47" t="inlineStr">
        <is>
          <t>TOMELILLA</t>
        </is>
      </c>
      <c r="H47" t="inlineStr">
        <is>
          <t>Kyrkan</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8192-2024</t>
        </is>
      </c>
      <c r="B48" t="inlineStr">
        <is>
          <t>avverkningsanmälan</t>
        </is>
      </c>
      <c r="C48" t="inlineStr">
        <is>
          <t>Föryngringsavverkning</t>
        </is>
      </c>
      <c r="D48" s="1" t="n">
        <v>45338</v>
      </c>
      <c r="E48" s="1" t="n">
        <v>46272</v>
      </c>
      <c r="F48" t="inlineStr">
        <is>
          <t>SKÅNE LÄN</t>
        </is>
      </c>
      <c r="G48" t="inlineStr">
        <is>
          <t>TOMELILLA</t>
        </is>
      </c>
      <c r="H48" t="inlineStr">
        <is>
          <t>Kyrkan</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47231-2023</t>
        </is>
      </c>
      <c r="B49" t="inlineStr">
        <is>
          <t>avverkningsanmälan</t>
        </is>
      </c>
      <c r="C49" t="inlineStr">
        <is>
          <t>Föryngringsavverkning</t>
        </is>
      </c>
      <c r="D49" s="1" t="n">
        <v>45202</v>
      </c>
      <c r="E49" s="1" t="n">
        <v>46272</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28966-2022</t>
        </is>
      </c>
      <c r="B50" t="inlineStr">
        <is>
          <t>avverkningsanmälan</t>
        </is>
      </c>
      <c r="C50" t="inlineStr">
        <is>
          <t>Avverkning för annat ändamål</t>
        </is>
      </c>
      <c r="D50" s="1" t="n">
        <v>44749</v>
      </c>
      <c r="E50" s="1" t="n">
        <v>46272</v>
      </c>
      <c r="F50" t="inlineStr">
        <is>
          <t>SKÅNE LÄN</t>
        </is>
      </c>
      <c r="G50" t="inlineStr">
        <is>
          <t>TOMELILLA</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578-2024</t>
        </is>
      </c>
      <c r="B51" t="inlineStr">
        <is>
          <t>avverkningsanmälan</t>
        </is>
      </c>
      <c r="C51" t="inlineStr">
        <is>
          <t>Föryngringsavverkning</t>
        </is>
      </c>
      <c r="D51" s="1" t="n">
        <v>45299</v>
      </c>
      <c r="E51" s="1" t="n">
        <v>46272</v>
      </c>
      <c r="F51" t="inlineStr">
        <is>
          <t>SKÅNE LÄN</t>
        </is>
      </c>
      <c r="G51" t="inlineStr">
        <is>
          <t>TOMELILLA</t>
        </is>
      </c>
      <c r="H51" t="inlineStr">
        <is>
          <t>Övriga Aktiebolag</t>
        </is>
      </c>
      <c r="I51" t="n">
        <v>67.40000000000001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6357-2024</t>
        </is>
      </c>
      <c r="B52" t="inlineStr">
        <is>
          <t>avverkningsanmälan</t>
        </is>
      </c>
      <c r="C52" t="inlineStr">
        <is>
          <t>Föryngringsavverkning</t>
        </is>
      </c>
      <c r="D52" s="1" t="n">
        <v>45338</v>
      </c>
      <c r="E52" s="1" t="n">
        <v>46272</v>
      </c>
      <c r="F52" t="inlineStr">
        <is>
          <t>SKÅNE LÄN</t>
        </is>
      </c>
      <c r="G52" t="inlineStr">
        <is>
          <t>TOMELILLA</t>
        </is>
      </c>
      <c r="H52" t="inlineStr">
        <is>
          <t>Kyrkan</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15158-2025</t>
        </is>
      </c>
      <c r="B53" t="inlineStr">
        <is>
          <t>avverkningsanmälan</t>
        </is>
      </c>
      <c r="C53" t="inlineStr">
        <is>
          <t>Föryngringsavverkning</t>
        </is>
      </c>
      <c r="D53" s="1" t="n">
        <v>45744</v>
      </c>
      <c r="E53" s="1" t="n">
        <v>46272</v>
      </c>
      <c r="F53" t="inlineStr">
        <is>
          <t>SKÅNE LÄN</t>
        </is>
      </c>
      <c r="G53" t="inlineStr">
        <is>
          <t>TOMELILLA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43306-2025</t>
        </is>
      </c>
      <c r="B54" t="inlineStr">
        <is>
          <t>avverkningsanmälan</t>
        </is>
      </c>
      <c r="C54" t="inlineStr">
        <is>
          <t>Föryngringsavverkning</t>
        </is>
      </c>
      <c r="D54" s="1" t="n">
        <v>45910</v>
      </c>
      <c r="E54" s="1" t="n">
        <v>46272</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23813-2024</t>
        </is>
      </c>
      <c r="B55" t="inlineStr">
        <is>
          <t>avverkningsanmälan</t>
        </is>
      </c>
      <c r="C55" t="inlineStr">
        <is>
          <t>Föryngringsavverkning</t>
        </is>
      </c>
      <c r="D55" s="1" t="n">
        <v>45455</v>
      </c>
      <c r="E55" s="1" t="n">
        <v>46272</v>
      </c>
      <c r="F55" t="inlineStr">
        <is>
          <t>SKÅNE LÄN</t>
        </is>
      </c>
      <c r="G55" t="inlineStr">
        <is>
          <t>TOMELILLA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19454-2024</t>
        </is>
      </c>
      <c r="B56" t="inlineStr">
        <is>
          <t>avverkningsanmälan</t>
        </is>
      </c>
      <c r="C56" t="inlineStr">
        <is>
          <t>Föryngringsavverkning</t>
        </is>
      </c>
      <c r="D56" s="1" t="n">
        <v>45429</v>
      </c>
      <c r="E56" s="1" t="n">
        <v>46272</v>
      </c>
      <c r="F56" t="inlineStr">
        <is>
          <t>SKÅNE LÄN</t>
        </is>
      </c>
      <c r="G56" t="inlineStr">
        <is>
          <t>TOMELILLA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48171-2025</t>
        </is>
      </c>
      <c r="B57" t="inlineStr">
        <is>
          <t>avverkningsanmälan</t>
        </is>
      </c>
      <c r="C57" t="inlineStr">
        <is>
          <t>Föryngringsavverkning</t>
        </is>
      </c>
      <c r="D57" s="1" t="n">
        <v>45933</v>
      </c>
      <c r="E57" s="1" t="n">
        <v>46272</v>
      </c>
      <c r="F57" t="inlineStr">
        <is>
          <t>SKÅNE LÄN</t>
        </is>
      </c>
      <c r="G57" t="inlineStr">
        <is>
          <t>TOMELILLA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59528-2022</t>
        </is>
      </c>
      <c r="B58" t="inlineStr">
        <is>
          <t>avverkningsanmälan</t>
        </is>
      </c>
      <c r="C58" t="inlineStr">
        <is>
          <t>Föryngringsavverkning</t>
        </is>
      </c>
      <c r="D58" s="1" t="n">
        <v>44907</v>
      </c>
      <c r="E58" s="1" t="n">
        <v>46272</v>
      </c>
      <c r="F58" t="inlineStr">
        <is>
          <t>SKÅNE LÄN</t>
        </is>
      </c>
      <c r="G58" t="inlineStr">
        <is>
          <t>TOMELILLA</t>
        </is>
      </c>
      <c r="H58" t="inlineStr">
        <is>
          <t>Övriga Aktiebolag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30673-2023</t>
        </is>
      </c>
      <c r="B59" t="inlineStr">
        <is>
          <t>avverkningsanmälan</t>
        </is>
      </c>
      <c r="C59" t="inlineStr">
        <is>
          <t>Föryngringsavverkning</t>
        </is>
      </c>
      <c r="D59" s="1" t="n">
        <v>45112</v>
      </c>
      <c r="E59" s="1" t="n">
        <v>46272</v>
      </c>
      <c r="F59" t="inlineStr">
        <is>
          <t>SKÅNE LÄN</t>
        </is>
      </c>
      <c r="G59" t="inlineStr">
        <is>
          <t>TOMELILLA</t>
        </is>
      </c>
      <c r="H59" t="inlineStr">
        <is>
          <t>Övriga Aktiebolag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35792-2025</t>
        </is>
      </c>
      <c r="B60" t="inlineStr">
        <is>
          <t>avverkningsanmälan</t>
        </is>
      </c>
      <c r="C60" t="inlineStr">
        <is>
          <t>Föryngringsavverkning</t>
        </is>
      </c>
      <c r="D60" s="1" t="n">
        <v>45861</v>
      </c>
      <c r="E60" s="1" t="n">
        <v>46272</v>
      </c>
      <c r="F60" t="inlineStr">
        <is>
          <t>SKÅNE LÄN</t>
        </is>
      </c>
      <c r="G60" t="inlineStr">
        <is>
          <t>TOMELILLA</t>
        </is>
      </c>
      <c r="H60" t="inlineStr">
        <is>
          <t>Övriga Aktiebolag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35971-2025</t>
        </is>
      </c>
      <c r="B61" t="inlineStr">
        <is>
          <t>avverkningsanmälan</t>
        </is>
      </c>
      <c r="C61" t="inlineStr">
        <is>
          <t>Föryngringsavverkning</t>
        </is>
      </c>
      <c r="D61" s="1" t="n">
        <v>45863</v>
      </c>
      <c r="E61" s="1" t="n">
        <v>46272</v>
      </c>
      <c r="F61" t="inlineStr">
        <is>
          <t>SKÅNE LÄN</t>
        </is>
      </c>
      <c r="G61" t="inlineStr">
        <is>
          <t>TOMELILLA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46272</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1199-2024</t>
        </is>
      </c>
      <c r="B63" t="inlineStr">
        <is>
          <t>avverkningsanmälan</t>
        </is>
      </c>
      <c r="C63" t="inlineStr">
        <is>
          <t>Föryngringsavverkning</t>
        </is>
      </c>
      <c r="D63" s="1" t="n">
        <v>45302</v>
      </c>
      <c r="E63" s="1" t="n">
        <v>46272</v>
      </c>
      <c r="F63" t="inlineStr">
        <is>
          <t>SKÅNE LÄN</t>
        </is>
      </c>
      <c r="G63" t="inlineStr">
        <is>
          <t>TOMELILLA</t>
        </is>
      </c>
      <c r="H63" t="inlineStr">
        <is>
          <t>Övriga Aktiebolag</t>
        </is>
      </c>
      <c r="I63" t="n">
        <v>16.1</v>
      </c>
      <c r="J63" t="n">
        <v>0</v>
      </c>
      <c r="K63" t="n">
        <v>0</v>
      </c>
      <c r="L63" t="n">
        <v>0</v>
      </c>
      <c r="M63" t="n">
        <v>0</v>
      </c>
      <c r="N63" t="n">
        <v>0</v>
      </c>
      <c r="O63" t="n">
        <v>0</v>
      </c>
      <c r="P63" t="n">
        <v>0</v>
      </c>
      <c r="Q63" t="n">
        <v>0</v>
      </c>
      <c r="R63" t="n">
        <v>0</v>
      </c>
      <c r="S63" t="n">
        <v>0</v>
      </c>
      <c r="T63" t="n">
        <v>0</v>
      </c>
      <c r="U63" t="n">
        <v>0</v>
      </c>
      <c r="V63" s="2" t="inlineStr"/>
    </row>
    <row r="64" ht="15" customHeight="1">
      <c r="A64" t="inlineStr">
        <is>
          <t>A 4018-2024</t>
        </is>
      </c>
      <c r="B64" t="inlineStr">
        <is>
          <t>avverkningsanmälan</t>
        </is>
      </c>
      <c r="C64" t="inlineStr">
        <is>
          <t>Föryngringsavverkning</t>
        </is>
      </c>
      <c r="D64" s="1" t="n">
        <v>45323</v>
      </c>
      <c r="E64" s="1" t="n">
        <v>46272</v>
      </c>
      <c r="F64" t="inlineStr">
        <is>
          <t>SKÅNE LÄN</t>
        </is>
      </c>
      <c r="G64" t="inlineStr">
        <is>
          <t>TOMELILLA</t>
        </is>
      </c>
      <c r="H64" t="inlineStr">
        <is>
          <t>Övriga Aktiebolag</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49815-2025</t>
        </is>
      </c>
      <c r="B65" t="inlineStr">
        <is>
          <t>avverkningsanmälan</t>
        </is>
      </c>
      <c r="C65" t="inlineStr">
        <is>
          <t>Föryngringsavverkning</t>
        </is>
      </c>
      <c r="D65" s="1" t="n">
        <v>45940</v>
      </c>
      <c r="E65" s="1" t="n">
        <v>46272</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4969-2026</t>
        </is>
      </c>
      <c r="B66" t="inlineStr">
        <is>
          <t>avverkningsanmälan</t>
        </is>
      </c>
      <c r="C66" t="inlineStr">
        <is>
          <t>Föryngringsavverkning</t>
        </is>
      </c>
      <c r="D66" s="1" t="n">
        <v>46049</v>
      </c>
      <c r="E66" s="1" t="n">
        <v>46272</v>
      </c>
      <c r="F66" t="inlineStr">
        <is>
          <t>SKÅNE LÄN</t>
        </is>
      </c>
      <c r="G66" t="inlineStr">
        <is>
          <t>TOMELILLA</t>
        </is>
      </c>
      <c r="H66" t="inlineStr">
        <is>
          <t>Övriga Aktiebolag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6259-2024</t>
        </is>
      </c>
      <c r="B67" t="inlineStr">
        <is>
          <t>avverkningsanmälan</t>
        </is>
      </c>
      <c r="C67" t="inlineStr">
        <is>
          <t>Föryngringsavverkning</t>
        </is>
      </c>
      <c r="D67" s="1" t="n">
        <v>45337</v>
      </c>
      <c r="E67" s="1" t="n">
        <v>46272</v>
      </c>
      <c r="F67" t="inlineStr">
        <is>
          <t>SKÅNE LÄN</t>
        </is>
      </c>
      <c r="G67" t="inlineStr">
        <is>
          <t>TOMELILLA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6316-2024</t>
        </is>
      </c>
      <c r="B68" t="inlineStr">
        <is>
          <t>avverkningsanmälan</t>
        </is>
      </c>
      <c r="C68" t="inlineStr">
        <is>
          <t>Föryngringsavverkning</t>
        </is>
      </c>
      <c r="D68" s="1" t="n">
        <v>45338</v>
      </c>
      <c r="E68" s="1" t="n">
        <v>46272</v>
      </c>
      <c r="F68" t="inlineStr">
        <is>
          <t>SKÅNE LÄN</t>
        </is>
      </c>
      <c r="G68" t="inlineStr">
        <is>
          <t>TOMELILLA</t>
        </is>
      </c>
      <c r="H68" t="inlineStr">
        <is>
          <t>Övriga Aktiebolag</t>
        </is>
      </c>
      <c r="I68" t="n">
        <v>28.6</v>
      </c>
      <c r="J68" t="n">
        <v>0</v>
      </c>
      <c r="K68" t="n">
        <v>0</v>
      </c>
      <c r="L68" t="n">
        <v>0</v>
      </c>
      <c r="M68" t="n">
        <v>0</v>
      </c>
      <c r="N68" t="n">
        <v>0</v>
      </c>
      <c r="O68" t="n">
        <v>0</v>
      </c>
      <c r="P68" t="n">
        <v>0</v>
      </c>
      <c r="Q68" t="n">
        <v>0</v>
      </c>
      <c r="R68" t="n">
        <v>0</v>
      </c>
      <c r="S68" t="n">
        <v>0</v>
      </c>
      <c r="T68" t="n">
        <v>0</v>
      </c>
      <c r="U68" t="n">
        <v>0</v>
      </c>
      <c r="V68" s="2" t="inlineStr"/>
    </row>
    <row r="69" ht="15" customHeight="1">
      <c r="A69" t="inlineStr">
        <is>
          <t>A 42794-2024</t>
        </is>
      </c>
      <c r="B69" t="inlineStr">
        <is>
          <t>avverkningsanmälan</t>
        </is>
      </c>
      <c r="C69" t="inlineStr">
        <is>
          <t>Föryngringsavverkning</t>
        </is>
      </c>
      <c r="D69" s="1" t="n">
        <v>45566</v>
      </c>
      <c r="E69" s="1" t="n">
        <v>46272</v>
      </c>
      <c r="F69" t="inlineStr">
        <is>
          <t>SKÅNE LÄN</t>
        </is>
      </c>
      <c r="G69" t="inlineStr">
        <is>
          <t>TOMELILLA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49913-2025</t>
        </is>
      </c>
      <c r="B70" t="inlineStr">
        <is>
          <t>avverkningsanmälan</t>
        </is>
      </c>
      <c r="C70" t="inlineStr">
        <is>
          <t>Avverkning för annat ändamål</t>
        </is>
      </c>
      <c r="D70" s="1" t="n">
        <v>45940</v>
      </c>
      <c r="E70" s="1" t="n">
        <v>46272</v>
      </c>
      <c r="F70" t="inlineStr">
        <is>
          <t>SKÅNE LÄN</t>
        </is>
      </c>
      <c r="G70" t="inlineStr">
        <is>
          <t>TOMELILLA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4188-2024</t>
        </is>
      </c>
      <c r="B71" t="inlineStr">
        <is>
          <t>avverkningsanmälan</t>
        </is>
      </c>
      <c r="C71" t="inlineStr">
        <is>
          <t>Föryngringsavverkning</t>
        </is>
      </c>
      <c r="D71" s="1" t="n">
        <v>45324</v>
      </c>
      <c r="E71" s="1" t="n">
        <v>46272</v>
      </c>
      <c r="F71" t="inlineStr">
        <is>
          <t>SKÅNE LÄN</t>
        </is>
      </c>
      <c r="G71" t="inlineStr">
        <is>
          <t>TOMELILLA</t>
        </is>
      </c>
      <c r="H71" t="inlineStr">
        <is>
          <t>Övriga Aktiebolag</t>
        </is>
      </c>
      <c r="I71" t="n">
        <v>9.6</v>
      </c>
      <c r="J71" t="n">
        <v>0</v>
      </c>
      <c r="K71" t="n">
        <v>0</v>
      </c>
      <c r="L71" t="n">
        <v>0</v>
      </c>
      <c r="M71" t="n">
        <v>0</v>
      </c>
      <c r="N71" t="n">
        <v>0</v>
      </c>
      <c r="O71" t="n">
        <v>0</v>
      </c>
      <c r="P71" t="n">
        <v>0</v>
      </c>
      <c r="Q71" t="n">
        <v>0</v>
      </c>
      <c r="R71" t="n">
        <v>0</v>
      </c>
      <c r="S71" t="n">
        <v>0</v>
      </c>
      <c r="T71" t="n">
        <v>0</v>
      </c>
      <c r="U71" t="n">
        <v>0</v>
      </c>
      <c r="V71" s="2" t="inlineStr"/>
    </row>
    <row r="72" ht="15" customHeight="1">
      <c r="A72" t="inlineStr">
        <is>
          <t>A 2190-2022</t>
        </is>
      </c>
      <c r="B72" t="inlineStr">
        <is>
          <t>avverkningsanmälan</t>
        </is>
      </c>
      <c r="C72" t="inlineStr">
        <is>
          <t>Föryngringsavverkning</t>
        </is>
      </c>
      <c r="D72" s="1" t="n">
        <v>44578</v>
      </c>
      <c r="E72" s="1" t="n">
        <v>46272</v>
      </c>
      <c r="F72" t="inlineStr">
        <is>
          <t>SKÅNE LÄN</t>
        </is>
      </c>
      <c r="G72" t="inlineStr">
        <is>
          <t>TOMELILLA</t>
        </is>
      </c>
      <c r="H72" t="inlineStr">
        <is>
          <t>Sveaskog</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53977-2022</t>
        </is>
      </c>
      <c r="B73" t="inlineStr">
        <is>
          <t>avverkningsanmälan</t>
        </is>
      </c>
      <c r="C73" t="inlineStr">
        <is>
          <t>Föryngringsavverkning</t>
        </is>
      </c>
      <c r="D73" s="1" t="n">
        <v>44876</v>
      </c>
      <c r="E73" s="1" t="n">
        <v>46272</v>
      </c>
      <c r="F73" t="inlineStr">
        <is>
          <t>SKÅNE LÄN</t>
        </is>
      </c>
      <c r="G73" t="inlineStr">
        <is>
          <t>TOMELILLA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12903-2024</t>
        </is>
      </c>
      <c r="B74" t="inlineStr">
        <is>
          <t>avverkningsanmälan</t>
        </is>
      </c>
      <c r="C74" t="inlineStr">
        <is>
          <t>Föryngringsavverkning</t>
        </is>
      </c>
      <c r="D74" s="1" t="n">
        <v>45385</v>
      </c>
      <c r="E74" s="1" t="n">
        <v>46272</v>
      </c>
      <c r="F74" t="inlineStr">
        <is>
          <t>SKÅNE LÄN</t>
        </is>
      </c>
      <c r="G74" t="inlineStr">
        <is>
          <t>TOMELILLA</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17151-2024</t>
        </is>
      </c>
      <c r="B75" t="inlineStr">
        <is>
          <t>avverkningsanmälan</t>
        </is>
      </c>
      <c r="C75" t="inlineStr">
        <is>
          <t>Föryngringsavverkning</t>
        </is>
      </c>
      <c r="D75" s="1" t="n">
        <v>45412</v>
      </c>
      <c r="E75" s="1" t="n">
        <v>46272</v>
      </c>
      <c r="F75" t="inlineStr">
        <is>
          <t>SKÅNE LÄN</t>
        </is>
      </c>
      <c r="G75" t="inlineStr">
        <is>
          <t>TOMELILLA</t>
        </is>
      </c>
      <c r="H75" t="inlineStr">
        <is>
          <t>Övriga Aktiebolag</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30040-2024</t>
        </is>
      </c>
      <c r="B76" t="inlineStr">
        <is>
          <t>avverkningsanmälan</t>
        </is>
      </c>
      <c r="C76" t="inlineStr">
        <is>
          <t>Avverkning för annat ändamål</t>
        </is>
      </c>
      <c r="D76" s="1" t="n">
        <v>45488</v>
      </c>
      <c r="E76" s="1" t="n">
        <v>46272</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61970-2025</t>
        </is>
      </c>
      <c r="B77" t="inlineStr">
        <is>
          <t>avverkningsanmälan</t>
        </is>
      </c>
      <c r="C77" t="inlineStr">
        <is>
          <t>Avverkning för annat ändamål</t>
        </is>
      </c>
      <c r="D77" s="1" t="n">
        <v>46003</v>
      </c>
      <c r="E77" s="1" t="n">
        <v>46272</v>
      </c>
      <c r="F77" t="inlineStr">
        <is>
          <t>SKÅNE LÄN</t>
        </is>
      </c>
      <c r="G77" t="inlineStr">
        <is>
          <t>TOMELILLA</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16483-2024</t>
        </is>
      </c>
      <c r="B78" t="inlineStr">
        <is>
          <t>avverkningsanmälan</t>
        </is>
      </c>
      <c r="C78" t="inlineStr">
        <is>
          <t>Föryngringsavverkning</t>
        </is>
      </c>
      <c r="D78" s="1" t="n">
        <v>45408</v>
      </c>
      <c r="E78" s="1" t="n">
        <v>46272</v>
      </c>
      <c r="F78" t="inlineStr">
        <is>
          <t>SKÅNE LÄN</t>
        </is>
      </c>
      <c r="G78" t="inlineStr">
        <is>
          <t>TOMELILLA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12663-2022</t>
        </is>
      </c>
      <c r="B79" t="inlineStr">
        <is>
          <t>avverkningsanmälan</t>
        </is>
      </c>
      <c r="C79" t="inlineStr">
        <is>
          <t>Föryngringsavverkning</t>
        </is>
      </c>
      <c r="D79" s="1" t="n">
        <v>44641</v>
      </c>
      <c r="E79" s="1" t="n">
        <v>46272</v>
      </c>
      <c r="F79" t="inlineStr">
        <is>
          <t>SKÅNE LÄN</t>
        </is>
      </c>
      <c r="G79" t="inlineStr">
        <is>
          <t>TOMELILLA</t>
        </is>
      </c>
      <c r="H79" t="inlineStr">
        <is>
          <t>Övriga Aktiebolag</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6124-2026</t>
        </is>
      </c>
      <c r="B80" t="inlineStr">
        <is>
          <t>avverkningsanmälan</t>
        </is>
      </c>
      <c r="C80" t="inlineStr">
        <is>
          <t>Föryngringsavverkning</t>
        </is>
      </c>
      <c r="D80" s="1" t="n">
        <v>46053</v>
      </c>
      <c r="E80" s="1" t="n">
        <v>46272</v>
      </c>
      <c r="F80" t="inlineStr">
        <is>
          <t>SKÅNE LÄN</t>
        </is>
      </c>
      <c r="G80" t="inlineStr">
        <is>
          <t>TOMELILLA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30806-2023</t>
        </is>
      </c>
      <c r="B81" t="inlineStr">
        <is>
          <t>avverkningsanmälan</t>
        </is>
      </c>
      <c r="C81" t="inlineStr">
        <is>
          <t>Föryngringsavverkning</t>
        </is>
      </c>
      <c r="D81" s="1" t="n">
        <v>45112</v>
      </c>
      <c r="E81" s="1" t="n">
        <v>46272</v>
      </c>
      <c r="F81" t="inlineStr">
        <is>
          <t>SKÅNE LÄN</t>
        </is>
      </c>
      <c r="G81" t="inlineStr">
        <is>
          <t>TOMELILLA</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16621-2026</t>
        </is>
      </c>
      <c r="B82" t="inlineStr">
        <is>
          <t>avverkningsanmälan</t>
        </is>
      </c>
      <c r="C82" t="inlineStr">
        <is>
          <t>Föryngringsavverkning</t>
        </is>
      </c>
      <c r="D82" s="1" t="n">
        <v>46112</v>
      </c>
      <c r="E82" s="1" t="n">
        <v>46272</v>
      </c>
      <c r="F82" t="inlineStr">
        <is>
          <t>SKÅNE LÄN</t>
        </is>
      </c>
      <c r="G82" t="inlineStr">
        <is>
          <t>TOMELILLA</t>
        </is>
      </c>
      <c r="H82" t="inlineStr">
        <is>
          <t>Kommuner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17316-2024</t>
        </is>
      </c>
      <c r="B83" t="inlineStr">
        <is>
          <t>avverkningsanmälan</t>
        </is>
      </c>
      <c r="C83" t="inlineStr">
        <is>
          <t>Föryngringsavverkning</t>
        </is>
      </c>
      <c r="D83" s="1" t="n">
        <v>45414</v>
      </c>
      <c r="E83" s="1" t="n">
        <v>46272</v>
      </c>
      <c r="F83" t="inlineStr">
        <is>
          <t>SKÅNE LÄN</t>
        </is>
      </c>
      <c r="G83" t="inlineStr">
        <is>
          <t>TOMELILLA</t>
        </is>
      </c>
      <c r="H83" t="inlineStr">
        <is>
          <t>Övriga Aktiebolag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31993-2023</t>
        </is>
      </c>
      <c r="B84" t="inlineStr">
        <is>
          <t>avverkningsanmälan</t>
        </is>
      </c>
      <c r="C84" t="inlineStr">
        <is>
          <t>Föryngringsavverkning</t>
        </is>
      </c>
      <c r="D84" s="1" t="n">
        <v>45119</v>
      </c>
      <c r="E84" s="1" t="n">
        <v>46272</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16568-2024</t>
        </is>
      </c>
      <c r="B85" t="inlineStr">
        <is>
          <t>avverkningsanmälan</t>
        </is>
      </c>
      <c r="C85" t="inlineStr">
        <is>
          <t>Föryngringsavverkning</t>
        </is>
      </c>
      <c r="D85" s="1" t="n">
        <v>45408</v>
      </c>
      <c r="E85" s="1" t="n">
        <v>46272</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46272</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61841-2025</t>
        </is>
      </c>
      <c r="B87" t="inlineStr">
        <is>
          <t>avverkningsanmälan</t>
        </is>
      </c>
      <c r="C87" t="inlineStr">
        <is>
          <t>Föryngringsavverkning</t>
        </is>
      </c>
      <c r="D87" s="1" t="n">
        <v>46003</v>
      </c>
      <c r="E87" s="1" t="n">
        <v>46272</v>
      </c>
      <c r="F87" t="inlineStr">
        <is>
          <t>SKÅNE LÄN</t>
        </is>
      </c>
      <c r="G87" t="inlineStr">
        <is>
          <t>TOMELILLA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4482-2026</t>
        </is>
      </c>
      <c r="B88" t="inlineStr">
        <is>
          <t>avverkningsanmälan</t>
        </is>
      </c>
      <c r="C88" t="inlineStr">
        <is>
          <t>Föryngringsavverkning</t>
        </is>
      </c>
      <c r="D88" s="1" t="n">
        <v>46045</v>
      </c>
      <c r="E88" s="1" t="n">
        <v>46272</v>
      </c>
      <c r="F88" t="inlineStr">
        <is>
          <t>SKÅNE LÄN</t>
        </is>
      </c>
      <c r="G88" t="inlineStr">
        <is>
          <t>TOMELILLA</t>
        </is>
      </c>
      <c r="H88" t="inlineStr">
        <is>
          <t>Övriga Aktiebolag</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11802-2024</t>
        </is>
      </c>
      <c r="B89" t="inlineStr">
        <is>
          <t>avverkningsanmälan</t>
        </is>
      </c>
      <c r="C89" t="inlineStr">
        <is>
          <t>Föryngringsavverkning</t>
        </is>
      </c>
      <c r="D89" s="1" t="n">
        <v>45375</v>
      </c>
      <c r="E89" s="1" t="n">
        <v>46272</v>
      </c>
      <c r="F89" t="inlineStr">
        <is>
          <t>SKÅNE LÄN</t>
        </is>
      </c>
      <c r="G89" t="inlineStr">
        <is>
          <t>TOMELILLA</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46272</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24248-2024</t>
        </is>
      </c>
      <c r="B91" t="inlineStr">
        <is>
          <t>avverkningsanmälan</t>
        </is>
      </c>
      <c r="C91" t="inlineStr">
        <is>
          <t>Föryngringsavverkning</t>
        </is>
      </c>
      <c r="D91" s="1" t="n">
        <v>45457</v>
      </c>
      <c r="E91" s="1" t="n">
        <v>46272</v>
      </c>
      <c r="F91" t="inlineStr">
        <is>
          <t>SKÅNE LÄN</t>
        </is>
      </c>
      <c r="G91" t="inlineStr">
        <is>
          <t>TOMELILLA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5027-2024</t>
        </is>
      </c>
      <c r="B92" t="inlineStr">
        <is>
          <t>avverkningsanmälan</t>
        </is>
      </c>
      <c r="C92" t="inlineStr">
        <is>
          <t>Föryngringsavverkning</t>
        </is>
      </c>
      <c r="D92" s="1" t="n">
        <v>45329</v>
      </c>
      <c r="E92" s="1" t="n">
        <v>46272</v>
      </c>
      <c r="F92" t="inlineStr">
        <is>
          <t>SKÅNE LÄN</t>
        </is>
      </c>
      <c r="G92" t="inlineStr">
        <is>
          <t>TOMELILLA</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6852-2026</t>
        </is>
      </c>
      <c r="B93" t="inlineStr">
        <is>
          <t>avverkningsanmälan</t>
        </is>
      </c>
      <c r="C93" t="inlineStr">
        <is>
          <t>Föryngringsavverkning</t>
        </is>
      </c>
      <c r="D93" s="1" t="n">
        <v>46057</v>
      </c>
      <c r="E93" s="1" t="n">
        <v>46272</v>
      </c>
      <c r="F93" t="inlineStr">
        <is>
          <t>SKÅNE LÄN</t>
        </is>
      </c>
      <c r="G93" t="inlineStr">
        <is>
          <t>TOMELILLA</t>
        </is>
      </c>
      <c r="H93" t="inlineStr">
        <is>
          <t>Övriga Aktiebolag</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21291-2026</t>
        </is>
      </c>
      <c r="B94" t="inlineStr">
        <is>
          <t>avverkningsanmälan</t>
        </is>
      </c>
      <c r="C94" t="inlineStr">
        <is>
          <t>Föryngringsavverkning</t>
        </is>
      </c>
      <c r="D94" s="1" t="n">
        <v>46147</v>
      </c>
      <c r="E94" s="1" t="n">
        <v>46272</v>
      </c>
      <c r="F94" t="inlineStr">
        <is>
          <t>SKÅNE LÄN</t>
        </is>
      </c>
      <c r="G94" t="inlineStr">
        <is>
          <t>TOMELILLA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21293-2026</t>
        </is>
      </c>
      <c r="B95" t="inlineStr">
        <is>
          <t>avverkningsanmälan</t>
        </is>
      </c>
      <c r="C95" t="inlineStr">
        <is>
          <t>Föryngringsavverkning</t>
        </is>
      </c>
      <c r="D95" s="1" t="n">
        <v>46147</v>
      </c>
      <c r="E95" s="1" t="n">
        <v>46272</v>
      </c>
      <c r="F95" t="inlineStr">
        <is>
          <t>SKÅNE LÄN</t>
        </is>
      </c>
      <c r="G95" t="inlineStr">
        <is>
          <t>TOMELILLA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12181-2023</t>
        </is>
      </c>
      <c r="B96" t="inlineStr">
        <is>
          <t>avverkningsanmälan</t>
        </is>
      </c>
      <c r="C96" t="inlineStr">
        <is>
          <t>Föryngringsavverkning</t>
        </is>
      </c>
      <c r="D96" s="1" t="n">
        <v>44998</v>
      </c>
      <c r="E96" s="1" t="n">
        <v>46272</v>
      </c>
      <c r="F96" t="inlineStr">
        <is>
          <t>SKÅNE LÄN</t>
        </is>
      </c>
      <c r="G96" t="inlineStr">
        <is>
          <t>TOMELILLA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46272</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17778-2024</t>
        </is>
      </c>
      <c r="B98" t="inlineStr">
        <is>
          <t>avverkningsanmälan</t>
        </is>
      </c>
      <c r="C98" t="inlineStr">
        <is>
          <t>Föryngringsavverkning</t>
        </is>
      </c>
      <c r="D98" s="1" t="n">
        <v>45418</v>
      </c>
      <c r="E98" s="1" t="n">
        <v>46272</v>
      </c>
      <c r="F98" t="inlineStr">
        <is>
          <t>SKÅNE LÄN</t>
        </is>
      </c>
      <c r="G98" t="inlineStr">
        <is>
          <t>TOMELILLA</t>
        </is>
      </c>
      <c r="H98" t="inlineStr">
        <is>
          <t>Övriga Aktiebolag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44675-2024</t>
        </is>
      </c>
      <c r="B99" t="inlineStr">
        <is>
          <t>avverkningsanmälan</t>
        </is>
      </c>
      <c r="C99" t="inlineStr">
        <is>
          <t>Avverkning för att bevara och utveckla /försöksver</t>
        </is>
      </c>
      <c r="D99" s="1" t="n">
        <v>45574</v>
      </c>
      <c r="E99" s="1" t="n">
        <v>46272</v>
      </c>
      <c r="F99" t="inlineStr">
        <is>
          <t>SKÅNE LÄN</t>
        </is>
      </c>
      <c r="G99" t="inlineStr">
        <is>
          <t>TOMELILLA</t>
        </is>
      </c>
      <c r="H99" t="inlineStr">
        <is>
          <t>Sveaskog</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26473-2024</t>
        </is>
      </c>
      <c r="B100" t="inlineStr">
        <is>
          <t>avverkningsanmälan</t>
        </is>
      </c>
      <c r="C100" t="inlineStr">
        <is>
          <t>Föryngringsavverkning</t>
        </is>
      </c>
      <c r="D100" s="1" t="n">
        <v>45469</v>
      </c>
      <c r="E100" s="1" t="n">
        <v>46272</v>
      </c>
      <c r="F100" t="inlineStr">
        <is>
          <t>SKÅNE LÄN</t>
        </is>
      </c>
      <c r="G100" t="inlineStr">
        <is>
          <t>TOMELILLA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15288-2026</t>
        </is>
      </c>
      <c r="B101" t="inlineStr">
        <is>
          <t>avverkningsanmälan</t>
        </is>
      </c>
      <c r="C101" t="inlineStr">
        <is>
          <t>Föryngringsavverkning</t>
        </is>
      </c>
      <c r="D101" s="1" t="n">
        <v>46105</v>
      </c>
      <c r="E101" s="1" t="n">
        <v>46272</v>
      </c>
      <c r="F101" t="inlineStr">
        <is>
          <t>SKÅNE LÄN</t>
        </is>
      </c>
      <c r="G101" t="inlineStr">
        <is>
          <t>TOMELILLA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51031-2023</t>
        </is>
      </c>
      <c r="B102" t="inlineStr">
        <is>
          <t>avverkningsanmälan</t>
        </is>
      </c>
      <c r="C102" t="inlineStr">
        <is>
          <t>Föryngringsavverkning</t>
        </is>
      </c>
      <c r="D102" s="1" t="n">
        <v>45211</v>
      </c>
      <c r="E102" s="1" t="n">
        <v>46272</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39796-2025</t>
        </is>
      </c>
      <c r="B103" t="inlineStr">
        <is>
          <t>avverkningsanmälan</t>
        </is>
      </c>
      <c r="C103" t="inlineStr">
        <is>
          <t>Föryngringsavverkning</t>
        </is>
      </c>
      <c r="D103" s="1" t="n">
        <v>45891</v>
      </c>
      <c r="E103" s="1" t="n">
        <v>46272</v>
      </c>
      <c r="F103" t="inlineStr">
        <is>
          <t>SKÅNE LÄN</t>
        </is>
      </c>
      <c r="G103" t="inlineStr">
        <is>
          <t>TOMELILLA</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7745-2025</t>
        </is>
      </c>
      <c r="B104" t="inlineStr">
        <is>
          <t>avverkningsanmälan</t>
        </is>
      </c>
      <c r="C104" t="inlineStr">
        <is>
          <t>Avverkning för annat ändamål</t>
        </is>
      </c>
      <c r="D104" s="1" t="n">
        <v>45706</v>
      </c>
      <c r="E104" s="1" t="n">
        <v>46272</v>
      </c>
      <c r="F104" t="inlineStr">
        <is>
          <t>SKÅNE LÄN</t>
        </is>
      </c>
      <c r="G104" t="inlineStr">
        <is>
          <t>TOMELILLA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5565-2024</t>
        </is>
      </c>
      <c r="B105" t="inlineStr">
        <is>
          <t>avverkningsanmälan</t>
        </is>
      </c>
      <c r="C105" t="inlineStr">
        <is>
          <t>Föryngringsavverkning</t>
        </is>
      </c>
      <c r="D105" s="1" t="n">
        <v>45334</v>
      </c>
      <c r="E105" s="1" t="n">
        <v>46272</v>
      </c>
      <c r="F105" t="inlineStr">
        <is>
          <t>SKÅNE LÄN</t>
        </is>
      </c>
      <c r="G105" t="inlineStr">
        <is>
          <t>TOMELILLA</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16611-2026</t>
        </is>
      </c>
      <c r="B106" t="inlineStr">
        <is>
          <t>avverkningsanmälan</t>
        </is>
      </c>
      <c r="C106" t="inlineStr">
        <is>
          <t>Föryngringsavverkning</t>
        </is>
      </c>
      <c r="D106" s="1" t="n">
        <v>46112</v>
      </c>
      <c r="E106" s="1" t="n">
        <v>46272</v>
      </c>
      <c r="F106" t="inlineStr">
        <is>
          <t>SKÅNE LÄN</t>
        </is>
      </c>
      <c r="G106" t="inlineStr">
        <is>
          <t>TOMELILLA</t>
        </is>
      </c>
      <c r="H106" t="inlineStr">
        <is>
          <t>Kommuner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46272</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7955-2024</t>
        </is>
      </c>
      <c r="B108" t="inlineStr">
        <is>
          <t>avverkningsanmälan</t>
        </is>
      </c>
      <c r="C108" t="inlineStr">
        <is>
          <t>Föryngringsavverkning</t>
        </is>
      </c>
      <c r="D108" s="1" t="n">
        <v>45350</v>
      </c>
      <c r="E108" s="1" t="n">
        <v>46272</v>
      </c>
      <c r="F108" t="inlineStr">
        <is>
          <t>SKÅNE LÄN</t>
        </is>
      </c>
      <c r="G108" t="inlineStr">
        <is>
          <t>TOMELILLA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24002-2026</t>
        </is>
      </c>
      <c r="B109" t="inlineStr">
        <is>
          <t>avverkningsanmälan</t>
        </is>
      </c>
      <c r="C109" t="inlineStr">
        <is>
          <t>Avverkning för annat ändamål</t>
        </is>
      </c>
      <c r="D109" s="1" t="n">
        <v>46167</v>
      </c>
      <c r="E109" s="1" t="n">
        <v>46272</v>
      </c>
      <c r="F109" t="inlineStr">
        <is>
          <t>SKÅNE LÄN</t>
        </is>
      </c>
      <c r="G109" t="inlineStr">
        <is>
          <t>TOMELILLA</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15296-2026</t>
        </is>
      </c>
      <c r="B110" t="inlineStr">
        <is>
          <t>avverkningsanmälan</t>
        </is>
      </c>
      <c r="C110" t="inlineStr">
        <is>
          <t>Föryngringsavverkning</t>
        </is>
      </c>
      <c r="D110" s="1" t="n">
        <v>46105</v>
      </c>
      <c r="E110" s="1" t="n">
        <v>46272</v>
      </c>
      <c r="F110" t="inlineStr">
        <is>
          <t>SKÅNE LÄN</t>
        </is>
      </c>
      <c r="G110" t="inlineStr">
        <is>
          <t>TOMELILLA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46272</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46272</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46272</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23621-2026</t>
        </is>
      </c>
      <c r="B114" t="inlineStr">
        <is>
          <t>avverkningsanmälan</t>
        </is>
      </c>
      <c r="C114" t="inlineStr">
        <is>
          <t>Föryngringsavverkning</t>
        </is>
      </c>
      <c r="D114" s="1" t="n">
        <v>46162</v>
      </c>
      <c r="E114" s="1" t="n">
        <v>46272</v>
      </c>
      <c r="F114" t="inlineStr">
        <is>
          <t>SKÅNE LÄN</t>
        </is>
      </c>
      <c r="G114" t="inlineStr">
        <is>
          <t>TOMELILLA</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4651-2024</t>
        </is>
      </c>
      <c r="B115" t="inlineStr">
        <is>
          <t>avverkningsanmälan</t>
        </is>
      </c>
      <c r="C115" t="inlineStr">
        <is>
          <t>Föryngringsavverkning</t>
        </is>
      </c>
      <c r="D115" s="1" t="n">
        <v>45328</v>
      </c>
      <c r="E115" s="1" t="n">
        <v>46272</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32955-2026</t>
        </is>
      </c>
      <c r="B116" t="inlineStr">
        <is>
          <t>avverkningsanmälan</t>
        </is>
      </c>
      <c r="C116" t="inlineStr">
        <is>
          <t>Föryngringsavverkning</t>
        </is>
      </c>
      <c r="D116" s="1" t="n">
        <v>46244</v>
      </c>
      <c r="E116" s="1" t="n">
        <v>46272</v>
      </c>
      <c r="F116" t="inlineStr">
        <is>
          <t>SKÅNE LÄN</t>
        </is>
      </c>
      <c r="G116" t="inlineStr">
        <is>
          <t>TOMELILLA</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12988-2024</t>
        </is>
      </c>
      <c r="B117" t="inlineStr">
        <is>
          <t>avverkningsanmälan</t>
        </is>
      </c>
      <c r="C117" t="inlineStr">
        <is>
          <t>Föryngringsavverkning</t>
        </is>
      </c>
      <c r="D117" s="1" t="n">
        <v>45385</v>
      </c>
      <c r="E117" s="1" t="n">
        <v>46272</v>
      </c>
      <c r="F117" t="inlineStr">
        <is>
          <t>SKÅNE LÄN</t>
        </is>
      </c>
      <c r="G117" t="inlineStr">
        <is>
          <t>TOMELILLA</t>
        </is>
      </c>
      <c r="H117" t="inlineStr">
        <is>
          <t>Övriga Aktiebolag</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32948-2026</t>
        </is>
      </c>
      <c r="B118" t="inlineStr">
        <is>
          <t>avverkningsanmälan</t>
        </is>
      </c>
      <c r="C118" t="inlineStr">
        <is>
          <t>Föryngringsavverkning</t>
        </is>
      </c>
      <c r="D118" s="1" t="n">
        <v>46244</v>
      </c>
      <c r="E118" s="1" t="n">
        <v>46272</v>
      </c>
      <c r="F118" t="inlineStr">
        <is>
          <t>SKÅNE LÄN</t>
        </is>
      </c>
      <c r="G118" t="inlineStr">
        <is>
          <t>TOMELILLA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15305-2025</t>
        </is>
      </c>
      <c r="B119" t="inlineStr">
        <is>
          <t>avverkningsanmälan</t>
        </is>
      </c>
      <c r="C119" t="inlineStr">
        <is>
          <t>Avverkning för annat ändamål</t>
        </is>
      </c>
      <c r="D119" s="1" t="n">
        <v>45746</v>
      </c>
      <c r="E119" s="1" t="n">
        <v>46272</v>
      </c>
      <c r="F119" t="inlineStr">
        <is>
          <t>SKÅNE LÄN</t>
        </is>
      </c>
      <c r="G119" t="inlineStr">
        <is>
          <t>TOMELILLA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60817-2023</t>
        </is>
      </c>
      <c r="B120" t="inlineStr">
        <is>
          <t>avverkningsanmälan</t>
        </is>
      </c>
      <c r="C120" t="inlineStr">
        <is>
          <t>Föryngringsavverkning</t>
        </is>
      </c>
      <c r="D120" s="1" t="n">
        <v>45260</v>
      </c>
      <c r="E120" s="1" t="n">
        <v>46272</v>
      </c>
      <c r="F120" t="inlineStr">
        <is>
          <t>SKÅNE LÄN</t>
        </is>
      </c>
      <c r="G120" t="inlineStr">
        <is>
          <t>TOMELILLA</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4023-2024</t>
        </is>
      </c>
      <c r="B121" t="inlineStr">
        <is>
          <t>avverkningsanmälan</t>
        </is>
      </c>
      <c r="C121" t="inlineStr">
        <is>
          <t>Föryngringsavverkning</t>
        </is>
      </c>
      <c r="D121" s="1" t="n">
        <v>45323</v>
      </c>
      <c r="E121" s="1" t="n">
        <v>46272</v>
      </c>
      <c r="F121" t="inlineStr">
        <is>
          <t>SKÅNE LÄN</t>
        </is>
      </c>
      <c r="G121" t="inlineStr">
        <is>
          <t>TOMELILLA</t>
        </is>
      </c>
      <c r="H121" t="inlineStr">
        <is>
          <t>Övriga Aktiebolag</t>
        </is>
      </c>
      <c r="I121" t="n">
        <v>15.2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24987-2026</t>
        </is>
      </c>
      <c r="B122" t="inlineStr">
        <is>
          <t>avverkningsanmälan</t>
        </is>
      </c>
      <c r="C122" t="inlineStr">
        <is>
          <t>Föryngringsavverkning</t>
        </is>
      </c>
      <c r="D122" s="1" t="n">
        <v>46174</v>
      </c>
      <c r="E122" s="1" t="n">
        <v>46272</v>
      </c>
      <c r="F122" t="inlineStr">
        <is>
          <t>SKÅNE LÄN</t>
        </is>
      </c>
      <c r="G122" t="inlineStr">
        <is>
          <t>TOMELILLA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12310-2023</t>
        </is>
      </c>
      <c r="B123" t="inlineStr">
        <is>
          <t>avverkningsanmälan</t>
        </is>
      </c>
      <c r="C123" t="inlineStr">
        <is>
          <t>Föryngringsavverkning</t>
        </is>
      </c>
      <c r="D123" s="1" t="n">
        <v>44999</v>
      </c>
      <c r="E123" s="1" t="n">
        <v>46272</v>
      </c>
      <c r="F123" t="inlineStr">
        <is>
          <t>SKÅNE LÄN</t>
        </is>
      </c>
      <c r="G123" t="inlineStr">
        <is>
          <t>TOMELILLA</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15921-2025</t>
        </is>
      </c>
      <c r="B124" t="inlineStr">
        <is>
          <t>avverkningsanmälan</t>
        </is>
      </c>
      <c r="C124" t="inlineStr">
        <is>
          <t>Föryngringsavverkning</t>
        </is>
      </c>
      <c r="D124" s="1" t="n">
        <v>45749</v>
      </c>
      <c r="E124" s="1" t="n">
        <v>46272</v>
      </c>
      <c r="F124" t="inlineStr">
        <is>
          <t>SKÅNE LÄN</t>
        </is>
      </c>
      <c r="G124" t="inlineStr">
        <is>
          <t>TOMELILLA</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35742-2024</t>
        </is>
      </c>
      <c r="B125" t="inlineStr">
        <is>
          <t>avverkningsanmälan</t>
        </is>
      </c>
      <c r="C125" t="inlineStr">
        <is>
          <t>Föryngringsavverkning</t>
        </is>
      </c>
      <c r="D125" s="1" t="n">
        <v>45532</v>
      </c>
      <c r="E125" s="1" t="n">
        <v>46272</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35715-2024</t>
        </is>
      </c>
      <c r="B126" t="inlineStr">
        <is>
          <t>avverkningsanmälan</t>
        </is>
      </c>
      <c r="C126" t="inlineStr">
        <is>
          <t>Föryngringsavverkning</t>
        </is>
      </c>
      <c r="D126" s="1" t="n">
        <v>45532</v>
      </c>
      <c r="E126" s="1" t="n">
        <v>46272</v>
      </c>
      <c r="F126" t="inlineStr">
        <is>
          <t>SKÅNE LÄN</t>
        </is>
      </c>
      <c r="G126" t="inlineStr">
        <is>
          <t>TOMELILLA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11806-2025</t>
        </is>
      </c>
      <c r="B127" t="inlineStr">
        <is>
          <t>avverkningsanmälan</t>
        </is>
      </c>
      <c r="C127" t="inlineStr">
        <is>
          <t>Föryngringsavverkning</t>
        </is>
      </c>
      <c r="D127" s="1" t="n">
        <v>45727</v>
      </c>
      <c r="E127" s="1" t="n">
        <v>46272</v>
      </c>
      <c r="F127" t="inlineStr">
        <is>
          <t>SKÅNE LÄN</t>
        </is>
      </c>
      <c r="G127" t="inlineStr">
        <is>
          <t>TOMELILLA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11810-2025</t>
        </is>
      </c>
      <c r="B128" t="inlineStr">
        <is>
          <t>avverkningsanmälan</t>
        </is>
      </c>
      <c r="C128" t="inlineStr">
        <is>
          <t>Föryngringsavverkning</t>
        </is>
      </c>
      <c r="D128" s="1" t="n">
        <v>45727</v>
      </c>
      <c r="E128" s="1" t="n">
        <v>46272</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31134-2026</t>
        </is>
      </c>
      <c r="B129" t="inlineStr">
        <is>
          <t>avverkningsanmälan</t>
        </is>
      </c>
      <c r="C129" t="inlineStr">
        <is>
          <t>Föryngringsavverkning</t>
        </is>
      </c>
      <c r="D129" s="1" t="n">
        <v>46216</v>
      </c>
      <c r="E129" s="1" t="n">
        <v>46272</v>
      </c>
      <c r="F129" t="inlineStr">
        <is>
          <t>SKÅNE LÄN</t>
        </is>
      </c>
      <c r="G129" t="inlineStr">
        <is>
          <t>TOMELILLA</t>
        </is>
      </c>
      <c r="H129" t="inlineStr">
        <is>
          <t>Övriga Aktiebolag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10908-2026</t>
        </is>
      </c>
      <c r="B130" t="inlineStr">
        <is>
          <t>avverkningsanmälan</t>
        </is>
      </c>
      <c r="C130" t="inlineStr">
        <is>
          <t>Föryngringsavverkning</t>
        </is>
      </c>
      <c r="D130" s="1" t="n">
        <v>46079</v>
      </c>
      <c r="E130" s="1" t="n">
        <v>46272</v>
      </c>
      <c r="F130" t="inlineStr">
        <is>
          <t>SKÅNE LÄN</t>
        </is>
      </c>
      <c r="G130" t="inlineStr">
        <is>
          <t>TOMELILLA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23185-2025</t>
        </is>
      </c>
      <c r="B131" t="inlineStr">
        <is>
          <t>avverkningsanmälan</t>
        </is>
      </c>
      <c r="C131" t="inlineStr">
        <is>
          <t>Avverkning för att bevara och utveckla /försöksver</t>
        </is>
      </c>
      <c r="D131" s="1" t="n">
        <v>45791</v>
      </c>
      <c r="E131" s="1" t="n">
        <v>46272</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25597-2026</t>
        </is>
      </c>
      <c r="B132" t="inlineStr">
        <is>
          <t>avverkningsanmälan</t>
        </is>
      </c>
      <c r="C132" t="inlineStr">
        <is>
          <t>Föryngringsavverkning</t>
        </is>
      </c>
      <c r="D132" s="1" t="n">
        <v>46177</v>
      </c>
      <c r="E132" s="1" t="n">
        <v>46272</v>
      </c>
      <c r="F132" t="inlineStr">
        <is>
          <t>SKÅNE LÄN</t>
        </is>
      </c>
      <c r="G132" t="inlineStr">
        <is>
          <t>TOMELILLA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25605-2026</t>
        </is>
      </c>
      <c r="B133" t="inlineStr">
        <is>
          <t>avverkningsanmälan</t>
        </is>
      </c>
      <c r="C133" t="inlineStr">
        <is>
          <t>Föryngringsavverkning</t>
        </is>
      </c>
      <c r="D133" s="1" t="n">
        <v>46177</v>
      </c>
      <c r="E133" s="1" t="n">
        <v>46272</v>
      </c>
      <c r="F133" t="inlineStr">
        <is>
          <t>SKÅNE LÄN</t>
        </is>
      </c>
      <c r="G133" t="inlineStr">
        <is>
          <t>TOMELILLA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17760-2025</t>
        </is>
      </c>
      <c r="B134" t="inlineStr">
        <is>
          <t>avverkningsanmälan</t>
        </is>
      </c>
      <c r="C134" t="inlineStr">
        <is>
          <t>Föryngringsavverkning</t>
        </is>
      </c>
      <c r="D134" s="1" t="n">
        <v>45758</v>
      </c>
      <c r="E134" s="1" t="n">
        <v>46272</v>
      </c>
      <c r="F134" t="inlineStr">
        <is>
          <t>SKÅNE LÄN</t>
        </is>
      </c>
      <c r="G134" t="inlineStr">
        <is>
          <t>TOMELILLA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35897-2026</t>
        </is>
      </c>
      <c r="B135" t="inlineStr">
        <is>
          <t>avverkningsanmälan</t>
        </is>
      </c>
      <c r="C135" t="inlineStr">
        <is>
          <t>Föryngringsavverkning</t>
        </is>
      </c>
      <c r="D135" s="1" t="n">
        <v>46266</v>
      </c>
      <c r="E135" s="1" t="n">
        <v>46272</v>
      </c>
      <c r="F135" t="inlineStr">
        <is>
          <t>SKÅNE LÄN</t>
        </is>
      </c>
      <c r="G135" t="inlineStr">
        <is>
          <t>TOMELILLA</t>
        </is>
      </c>
      <c r="I135" t="n">
        <v>3</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46272</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2026-09-07T02:08:01Z</dcterms:created>
  <dcterms:modified xmlns:dcterms="http://purl.org/dc/terms/" xmlns:xsi="http://www.w3.org/2001/XMLSchema-instance" xsi:type="dcterms:W3CDTF">2026-09-07T02:08:01Z</dcterms:modified>
</cp:coreProperties>
</file>