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46225</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46225</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46225</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46225</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46225</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46225</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46225</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46225</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46225</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46225</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6261-2024</t>
        </is>
      </c>
      <c r="B12" t="inlineStr">
        <is>
          <t>avverkningsanmälan</t>
        </is>
      </c>
      <c r="C12" t="inlineStr">
        <is>
          <t>Föryngringsavverkning</t>
        </is>
      </c>
      <c r="D12" s="1" t="n">
        <v>45337</v>
      </c>
      <c r="E12" s="1" t="n">
        <v>46225</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t="n">
        <v>1</v>
      </c>
      <c r="V12" s="2" t="inlineStr">
        <is>
          <t>Blodticka</t>
        </is>
      </c>
      <c r="W12">
        <f>HYPERLINK("https://klasma.github.io/Logging_1270/artfynd/A 6261-2024 artfynd.xlsx", "A 6261-2024")</f>
        <v/>
      </c>
      <c r="X12">
        <f>HYPERLINK("https://klasma.github.io/Logging_1270/kartor/A 6261-2024 karta.png", "A 6261-2024")</f>
        <v/>
      </c>
      <c r="Y12">
        <f>HYPERLINK("https://klasma.github.io/Logging_1270/kartor_geotiff/A 6261-2024 georefererad karta.tif", "A 6261-2024")</f>
        <v/>
      </c>
      <c r="AA12">
        <f>HYPERLINK("https://klasma.github.io/Logging_1270/klagomål/A 6261-2024 FSC-klagomål.docx", "A 6261-2024")</f>
        <v/>
      </c>
      <c r="AB12">
        <f>HYPERLINK("https://klasma.github.io/Logging_1270/klagomålsmail/A 6261-2024 FSC-klagomål mail.docx", "A 6261-2024")</f>
        <v/>
      </c>
      <c r="AC12">
        <f>HYPERLINK("https://klasma.github.io/Logging_1270/tillsyn/A 6261-2024 tillsynsbegäran.docx", "A 6261-2024")</f>
        <v/>
      </c>
      <c r="AD12">
        <f>HYPERLINK("https://klasma.github.io/Logging_1270/tillsynsmail/A 6261-2024 tillsynsbegäran mail.docx", "A 6261-2024")</f>
        <v/>
      </c>
    </row>
    <row r="13" ht="15" customHeight="1">
      <c r="A13" t="inlineStr">
        <is>
          <t>A 49813-2025</t>
        </is>
      </c>
      <c r="B13" t="inlineStr">
        <is>
          <t>avverkningsanmälan</t>
        </is>
      </c>
      <c r="C13" t="inlineStr">
        <is>
          <t>Föryngringsavverkning</t>
        </is>
      </c>
      <c r="D13" s="1" t="n">
        <v>45940</v>
      </c>
      <c r="E13" s="1" t="n">
        <v>46225</v>
      </c>
      <c r="F13" t="inlineStr">
        <is>
          <t>SKÅNE LÄN</t>
        </is>
      </c>
      <c r="G13" t="inlineStr">
        <is>
          <t>TOMELILLA</t>
        </is>
      </c>
      <c r="I13" t="n">
        <v>4.5</v>
      </c>
      <c r="J13" t="n">
        <v>1</v>
      </c>
      <c r="K13" t="n">
        <v>0</v>
      </c>
      <c r="L13" t="n">
        <v>0</v>
      </c>
      <c r="M13" t="n">
        <v>0</v>
      </c>
      <c r="N13" t="n">
        <v>0</v>
      </c>
      <c r="O13" t="n">
        <v>0</v>
      </c>
      <c r="P13" t="n">
        <v>0</v>
      </c>
      <c r="Q13" t="n">
        <v>0</v>
      </c>
      <c r="R13" t="n">
        <v>0</v>
      </c>
      <c r="S13" t="n">
        <v>1</v>
      </c>
      <c r="T13" t="n">
        <v>1</v>
      </c>
      <c r="U13" t="n">
        <v>0</v>
      </c>
      <c r="V13" s="2" t="inlineStr">
        <is>
          <t>Långbensgroda</t>
        </is>
      </c>
      <c r="W13">
        <f>HYPERLINK("https://klasma.github.io/Logging_1270/artfynd/A 49813-2025 artfynd.xlsx", "A 49813-2025")</f>
        <v/>
      </c>
      <c r="X13">
        <f>HYPERLINK("https://klasma.github.io/Logging_1270/kartor/A 49813-2025 karta.png", "A 49813-2025")</f>
        <v/>
      </c>
      <c r="Y13">
        <f>HYPERLINK("https://klasma.github.io/Logging_1270/kartor_geotiff/A 49813-2025 georefererad karta.tif", "A 49813-2025")</f>
        <v/>
      </c>
      <c r="AA13">
        <f>HYPERLINK("https://klasma.github.io/Logging_1270/klagomål/A 49813-2025 FSC-klagomål.docx", "A 49813-2025")</f>
        <v/>
      </c>
      <c r="AB13">
        <f>HYPERLINK("https://klasma.github.io/Logging_1270/klagomålsmail/A 49813-2025 FSC-klagomål mail.docx", "A 49813-2025")</f>
        <v/>
      </c>
      <c r="AC13">
        <f>HYPERLINK("https://klasma.github.io/Logging_1270/tillsyn/A 49813-2025 tillsynsbegäran.docx", "A 49813-2025")</f>
        <v/>
      </c>
      <c r="AD13">
        <f>HYPERLINK("https://klasma.github.io/Logging_1270/tillsynsmail/A 49813-2025 tillsynsbegäran mail.docx", "A 49813-2025")</f>
        <v/>
      </c>
    </row>
    <row r="14" ht="15" customHeight="1">
      <c r="A14" t="inlineStr">
        <is>
          <t>A 61314-2025</t>
        </is>
      </c>
      <c r="B14" t="inlineStr">
        <is>
          <t>avverkningsanmälan</t>
        </is>
      </c>
      <c r="C14" t="inlineStr">
        <is>
          <t>Föryngringsavverkning</t>
        </is>
      </c>
      <c r="D14" s="1" t="n">
        <v>46000</v>
      </c>
      <c r="E14" s="1" t="n">
        <v>46225</v>
      </c>
      <c r="F14" t="inlineStr">
        <is>
          <t>SKÅNE LÄN</t>
        </is>
      </c>
      <c r="G14" t="inlineStr">
        <is>
          <t>TOMELILLA</t>
        </is>
      </c>
      <c r="I14" t="n">
        <v>0.8</v>
      </c>
      <c r="J14" t="n">
        <v>1</v>
      </c>
      <c r="K14" t="n">
        <v>0</v>
      </c>
      <c r="L14" t="n">
        <v>0</v>
      </c>
      <c r="M14" t="n">
        <v>0</v>
      </c>
      <c r="N14" t="n">
        <v>0</v>
      </c>
      <c r="O14" t="n">
        <v>0</v>
      </c>
      <c r="P14" t="n">
        <v>0</v>
      </c>
      <c r="Q14" t="n">
        <v>0</v>
      </c>
      <c r="R14" t="n">
        <v>0</v>
      </c>
      <c r="S14" t="n">
        <v>1</v>
      </c>
      <c r="T14" t="n">
        <v>1</v>
      </c>
      <c r="U14" t="n">
        <v>0</v>
      </c>
      <c r="V14" s="2" t="inlineStr">
        <is>
          <t>Hasselmus</t>
        </is>
      </c>
      <c r="W14">
        <f>HYPERLINK("https://klasma.github.io/Logging_1270/artfynd/A 61314-2025 artfynd.xlsx", "A 61314-2025")</f>
        <v/>
      </c>
      <c r="X14">
        <f>HYPERLINK("https://klasma.github.io/Logging_1270/kartor/A 61314-2025 karta.png", "A 61314-2025")</f>
        <v/>
      </c>
      <c r="Y14">
        <f>HYPERLINK("https://klasma.github.io/Logging_1270/kartor_geotiff/A 61314-2025 georefererad karta.tif", "A 61314-2025")</f>
        <v/>
      </c>
      <c r="AA14">
        <f>HYPERLINK("https://klasma.github.io/Logging_1270/klagomål/A 61314-2025 FSC-klagomål.docx", "A 61314-2025")</f>
        <v/>
      </c>
      <c r="AB14">
        <f>HYPERLINK("https://klasma.github.io/Logging_1270/klagomålsmail/A 61314-2025 FSC-klagomål mail.docx", "A 61314-2025")</f>
        <v/>
      </c>
      <c r="AC14">
        <f>HYPERLINK("https://klasma.github.io/Logging_1270/tillsyn/A 61314-2025 tillsynsbegäran.docx", "A 61314-2025")</f>
        <v/>
      </c>
      <c r="AD14">
        <f>HYPERLINK("https://klasma.github.io/Logging_1270/tillsynsmail/A 61314-2025 tillsynsbegäran mail.docx", "A 61314-2025")</f>
        <v/>
      </c>
    </row>
    <row r="15" ht="15" customHeight="1">
      <c r="A15" t="inlineStr">
        <is>
          <t>A 6261-2024</t>
        </is>
      </c>
      <c r="B15" t="inlineStr">
        <is>
          <t>avverkningsanmälan</t>
        </is>
      </c>
      <c r="C15" t="inlineStr">
        <is>
          <t>Föryngringsavverkning</t>
        </is>
      </c>
      <c r="D15" s="1" t="n">
        <v>45337</v>
      </c>
      <c r="E15" s="1" t="n">
        <v>46225</v>
      </c>
      <c r="F15" t="inlineStr">
        <is>
          <t>SKÅNE LÄN</t>
        </is>
      </c>
      <c r="G15" t="inlineStr">
        <is>
          <t>TOMELILLA</t>
        </is>
      </c>
      <c r="I15" t="n">
        <v>12.6</v>
      </c>
      <c r="J15" t="n">
        <v>0</v>
      </c>
      <c r="K15" t="n">
        <v>1</v>
      </c>
      <c r="L15" t="n">
        <v>0</v>
      </c>
      <c r="M15" t="n">
        <v>0</v>
      </c>
      <c r="N15" t="n">
        <v>0</v>
      </c>
      <c r="O15" t="n">
        <v>0</v>
      </c>
      <c r="P15" t="n">
        <v>0</v>
      </c>
      <c r="Q15" t="n">
        <v>0</v>
      </c>
      <c r="R15" t="n">
        <v>0</v>
      </c>
      <c r="S15" t="n">
        <v>1</v>
      </c>
      <c r="T15" t="n">
        <v>1</v>
      </c>
      <c r="U15" t="n">
        <v>1</v>
      </c>
      <c r="V15" s="2" t="inlineStr">
        <is>
          <t>Blodticka</t>
        </is>
      </c>
      <c r="W15">
        <f>HYPERLINK("https://klasma.github.io/Logging_1270/artfynd/A 6261-2024 artfynd.xlsx", "A 6261-2024")</f>
        <v/>
      </c>
      <c r="X15">
        <f>HYPERLINK("https://klasma.github.io/Logging_1270/kartor/A 6261-2024 karta.png", "A 6261-2024")</f>
        <v/>
      </c>
      <c r="Y15">
        <f>HYPERLINK("https://klasma.github.io/Logging_1270/kartor_geotiff/A 6261-2024 georefererad karta.tif", "A 6261-2024")</f>
        <v/>
      </c>
      <c r="AA15">
        <f>HYPERLINK("https://klasma.github.io/Logging_1270/klagomål/A 6261-2024 FSC-klagomål.docx", "A 6261-2024")</f>
        <v/>
      </c>
      <c r="AB15">
        <f>HYPERLINK("https://klasma.github.io/Logging_1270/klagomålsmail/A 6261-2024 FSC-klagomål mail.docx", "A 6261-2024")</f>
        <v/>
      </c>
      <c r="AC15">
        <f>HYPERLINK("https://klasma.github.io/Logging_1270/tillsyn/A 6261-2024 tillsynsbegäran.docx", "A 6261-2024")</f>
        <v/>
      </c>
      <c r="AD15">
        <f>HYPERLINK("https://klasma.github.io/Logging_1270/tillsynsmail/A 6261-2024 tillsynsbegäran mail.docx", "A 6261-2024")</f>
        <v/>
      </c>
    </row>
    <row r="16" ht="15" customHeight="1">
      <c r="A16" t="inlineStr">
        <is>
          <t>A 26958-2025</t>
        </is>
      </c>
      <c r="B16" t="inlineStr">
        <is>
          <t>avverkningsanmälan</t>
        </is>
      </c>
      <c r="C16" t="inlineStr">
        <is>
          <t>Föryngringsavverkning</t>
        </is>
      </c>
      <c r="D16" s="1" t="n">
        <v>45811</v>
      </c>
      <c r="E16" s="1" t="n">
        <v>46225</v>
      </c>
      <c r="F16" t="inlineStr">
        <is>
          <t>SKÅNE LÄN</t>
        </is>
      </c>
      <c r="G16" t="inlineStr">
        <is>
          <t>TOMELILLA</t>
        </is>
      </c>
      <c r="I16" t="n">
        <v>2.9</v>
      </c>
      <c r="J16" t="n">
        <v>0</v>
      </c>
      <c r="K16" t="n">
        <v>1</v>
      </c>
      <c r="L16" t="n">
        <v>0</v>
      </c>
      <c r="M16" t="n">
        <v>0</v>
      </c>
      <c r="N16" t="n">
        <v>0</v>
      </c>
      <c r="O16" t="n">
        <v>0</v>
      </c>
      <c r="P16" t="n">
        <v>0</v>
      </c>
      <c r="Q16" t="n">
        <v>0</v>
      </c>
      <c r="R16" t="n">
        <v>0</v>
      </c>
      <c r="S16" t="n">
        <v>1</v>
      </c>
      <c r="T16" t="n">
        <v>1</v>
      </c>
      <c r="U16" t="n">
        <v>0</v>
      </c>
      <c r="V16" s="2" t="inlineStr">
        <is>
          <t>Murgröna</t>
        </is>
      </c>
      <c r="W16">
        <f>HYPERLINK("https://klasma.github.io/Logging_1270/artfynd/A 26958-2025 artfynd.xlsx", "A 26958-2025")</f>
        <v/>
      </c>
      <c r="X16">
        <f>HYPERLINK("https://klasma.github.io/Logging_1270/kartor/A 26958-2025 karta.png", "A 26958-2025")</f>
        <v/>
      </c>
      <c r="Y16">
        <f>HYPERLINK("https://klasma.github.io/Logging_1270/kartor_geotiff/A 26958-2025 georefererad karta.tif", "A 26958-2025")</f>
        <v/>
      </c>
      <c r="AA16">
        <f>HYPERLINK("https://klasma.github.io/Logging_1270/klagomål/A 26958-2025 FSC-klagomål.docx", "A 26958-2025")</f>
        <v/>
      </c>
      <c r="AB16">
        <f>HYPERLINK("https://klasma.github.io/Logging_1270/klagomålsmail/A 26958-2025 FSC-klagomål mail.docx", "A 26958-2025")</f>
        <v/>
      </c>
      <c r="AC16">
        <f>HYPERLINK("https://klasma.github.io/Logging_1270/tillsyn/A 26958-2025 tillsynsbegäran.docx", "A 26958-2025")</f>
        <v/>
      </c>
      <c r="AD16">
        <f>HYPERLINK("https://klasma.github.io/Logging_1270/tillsynsmail/A 26958-2025 tillsynsbegäran mail.docx", "A 26958-2025")</f>
        <v/>
      </c>
    </row>
    <row r="17" ht="15" customHeight="1">
      <c r="A17" t="inlineStr">
        <is>
          <t>A 2193-2022</t>
        </is>
      </c>
      <c r="B17" t="inlineStr">
        <is>
          <t>avverkningsanmälan</t>
        </is>
      </c>
      <c r="C17" t="inlineStr">
        <is>
          <t>Föryngringsavverkning</t>
        </is>
      </c>
      <c r="D17" s="1" t="n">
        <v>44578</v>
      </c>
      <c r="E17" s="1" t="n">
        <v>46225</v>
      </c>
      <c r="F17" t="inlineStr">
        <is>
          <t>SKÅNE LÄN</t>
        </is>
      </c>
      <c r="G17" t="inlineStr">
        <is>
          <t>TOMELILLA</t>
        </is>
      </c>
      <c r="H17" t="inlineStr">
        <is>
          <t>Sveaskog</t>
        </is>
      </c>
      <c r="I17" t="n">
        <v>0.5</v>
      </c>
      <c r="J17" t="n">
        <v>0</v>
      </c>
      <c r="K17" t="n">
        <v>0</v>
      </c>
      <c r="L17" t="n">
        <v>1</v>
      </c>
      <c r="M17" t="n">
        <v>0</v>
      </c>
      <c r="N17" t="n">
        <v>0</v>
      </c>
      <c r="O17" t="n">
        <v>0</v>
      </c>
      <c r="P17" t="n">
        <v>0</v>
      </c>
      <c r="Q17" t="n">
        <v>1</v>
      </c>
      <c r="R17" t="n">
        <v>0</v>
      </c>
      <c r="S17" t="n">
        <v>1</v>
      </c>
      <c r="T17" t="n">
        <v>1</v>
      </c>
      <c r="U17" t="n">
        <v>1</v>
      </c>
      <c r="V17" s="2" t="inlineStr">
        <is>
          <t>Skogslysing</t>
        </is>
      </c>
      <c r="W17">
        <f>HYPERLINK("https://klasma.github.io/Logging_1270/artfynd/A 2193-2022 artfynd.xlsx", "A 2193-2022")</f>
        <v/>
      </c>
      <c r="X17">
        <f>HYPERLINK("https://klasma.github.io/Logging_1270/kartor/A 2193-2022 karta.png", "A 2193-2022")</f>
        <v/>
      </c>
      <c r="Y17">
        <f>HYPERLINK("https://klasma.github.io/Logging_1270/kartor_geotiff/A 2193-2022 georefererad karta.tif", "A 2193-2022")</f>
        <v/>
      </c>
      <c r="AA17">
        <f>HYPERLINK("https://klasma.github.io/Logging_1270/klagomål/A 2193-2022 FSC-klagomål.docx", "A 2193-2022")</f>
        <v/>
      </c>
      <c r="AB17">
        <f>HYPERLINK("https://klasma.github.io/Logging_1270/klagomålsmail/A 2193-2022 FSC-klagomål mail.docx", "A 2193-2022")</f>
        <v/>
      </c>
      <c r="AC17">
        <f>HYPERLINK("https://klasma.github.io/Logging_1270/tillsyn/A 2193-2022 tillsynsbegäran.docx", "A 2193-2022")</f>
        <v/>
      </c>
      <c r="AD17">
        <f>HYPERLINK("https://klasma.github.io/Logging_1270/tillsynsmail/A 2193-2022 tillsynsbegäran mail.docx", "A 2193-2022")</f>
        <v/>
      </c>
    </row>
    <row r="18" ht="15" customHeight="1">
      <c r="A18" t="inlineStr">
        <is>
          <t>A 26823-2026</t>
        </is>
      </c>
      <c r="B18" t="inlineStr">
        <is>
          <t>avverkningsanmälan</t>
        </is>
      </c>
      <c r="C18" t="inlineStr">
        <is>
          <t>Föryngringsavverkning</t>
        </is>
      </c>
      <c r="D18" s="1" t="n">
        <v>46183</v>
      </c>
      <c r="E18" s="1" t="n">
        <v>46225</v>
      </c>
      <c r="F18" t="inlineStr">
        <is>
          <t>SKÅNE LÄN</t>
        </is>
      </c>
      <c r="G18" t="inlineStr">
        <is>
          <t>TOMELILLA</t>
        </is>
      </c>
      <c r="I18" t="n">
        <v>12.9</v>
      </c>
      <c r="J18" t="n">
        <v>0</v>
      </c>
      <c r="K18" t="n">
        <v>0</v>
      </c>
      <c r="L18" t="n">
        <v>1</v>
      </c>
      <c r="M18" t="n">
        <v>0</v>
      </c>
      <c r="N18" t="n">
        <v>0</v>
      </c>
      <c r="O18" t="n">
        <v>0</v>
      </c>
      <c r="P18" t="n">
        <v>0</v>
      </c>
      <c r="Q18" t="n">
        <v>1</v>
      </c>
      <c r="R18" t="n">
        <v>0</v>
      </c>
      <c r="S18" t="n">
        <v>1</v>
      </c>
      <c r="T18" t="n">
        <v>1</v>
      </c>
      <c r="U18" t="n">
        <v>0</v>
      </c>
      <c r="V18" s="2" t="inlineStr">
        <is>
          <t>Bokkantlav</t>
        </is>
      </c>
      <c r="W18">
        <f>HYPERLINK("https://klasma.github.io/Logging_1270/artfynd/A 26823-2026 artfynd.xlsx", "A 26823-2026")</f>
        <v/>
      </c>
      <c r="X18">
        <f>HYPERLINK("https://klasma.github.io/Logging_1270/kartor/A 26823-2026 karta.png", "A 26823-2026")</f>
        <v/>
      </c>
      <c r="Y18">
        <f>HYPERLINK("https://klasma.github.io/Logging_1270/kartor_geotiff/A 26823-2026 georefererad karta.tif", "A 26823-2026")</f>
        <v/>
      </c>
      <c r="AA18">
        <f>HYPERLINK("https://klasma.github.io/Logging_1270/klagomål/A 26823-2026 FSC-klagomål.docx", "A 26823-2026")</f>
        <v/>
      </c>
      <c r="AB18">
        <f>HYPERLINK("https://klasma.github.io/Logging_1270/klagomålsmail/A 26823-2026 FSC-klagomål mail.docx", "A 26823-2026")</f>
        <v/>
      </c>
      <c r="AC18">
        <f>HYPERLINK("https://klasma.github.io/Logging_1270/tillsyn/A 26823-2026 tillsynsbegäran.docx", "A 26823-2026")</f>
        <v/>
      </c>
      <c r="AD18">
        <f>HYPERLINK("https://klasma.github.io/Logging_1270/tillsynsmail/A 26823-2026 tillsynsbegäran mail.docx", "A 26823-2026")</f>
        <v/>
      </c>
    </row>
    <row r="19" ht="15" customHeight="1">
      <c r="A19" t="inlineStr">
        <is>
          <t>A 20397-2026</t>
        </is>
      </c>
      <c r="B19" t="inlineStr">
        <is>
          <t>avverkningsanmälan</t>
        </is>
      </c>
      <c r="C19" t="inlineStr">
        <is>
          <t>Föryngringsavverkning</t>
        </is>
      </c>
      <c r="D19" s="1" t="n">
        <v>46139</v>
      </c>
      <c r="E19" s="1" t="n">
        <v>46225</v>
      </c>
      <c r="F19" t="inlineStr">
        <is>
          <t>SKÅNE LÄN</t>
        </is>
      </c>
      <c r="G19" t="inlineStr">
        <is>
          <t>TOMELILLA</t>
        </is>
      </c>
      <c r="I19" t="n">
        <v>4.2</v>
      </c>
      <c r="J19" t="n">
        <v>1</v>
      </c>
      <c r="K19" t="n">
        <v>0</v>
      </c>
      <c r="L19" t="n">
        <v>0</v>
      </c>
      <c r="M19" t="n">
        <v>0</v>
      </c>
      <c r="N19" t="n">
        <v>0</v>
      </c>
      <c r="O19" t="n">
        <v>0</v>
      </c>
      <c r="P19" t="n">
        <v>0</v>
      </c>
      <c r="Q19" t="n">
        <v>0</v>
      </c>
      <c r="R19" t="n">
        <v>0</v>
      </c>
      <c r="S19" t="n">
        <v>1</v>
      </c>
      <c r="T19" t="n">
        <v>1</v>
      </c>
      <c r="U19" t="n">
        <v>0</v>
      </c>
      <c r="V19" s="2" t="inlineStr">
        <is>
          <t>Långbensgroda</t>
        </is>
      </c>
      <c r="W19">
        <f>HYPERLINK("https://klasma.github.io/Logging_1270/artfynd/A 20397-2026 artfynd.xlsx", "A 20397-2026")</f>
        <v/>
      </c>
      <c r="X19">
        <f>HYPERLINK("https://klasma.github.io/Logging_1270/kartor/A 20397-2026 karta.png", "A 20397-2026")</f>
        <v/>
      </c>
      <c r="Y19">
        <f>HYPERLINK("https://klasma.github.io/Logging_1270/kartor_geotiff/A 20397-2026 georefererad karta.tif", "A 20397-2026")</f>
        <v/>
      </c>
      <c r="AA19">
        <f>HYPERLINK("https://klasma.github.io/Logging_1270/klagomål/A 20397-2026 FSC-klagomål.docx", "A 20397-2026")</f>
        <v/>
      </c>
      <c r="AB19">
        <f>HYPERLINK("https://klasma.github.io/Logging_1270/klagomålsmail/A 20397-2026 FSC-klagomål mail.docx", "A 20397-2026")</f>
        <v/>
      </c>
      <c r="AC19">
        <f>HYPERLINK("https://klasma.github.io/Logging_1270/tillsyn/A 20397-2026 tillsynsbegäran.docx", "A 20397-2026")</f>
        <v/>
      </c>
      <c r="AD19">
        <f>HYPERLINK("https://klasma.github.io/Logging_1270/tillsynsmail/A 20397-2026 tillsynsbegäran mail.docx", "A 20397-2026")</f>
        <v/>
      </c>
    </row>
    <row r="20" ht="15" customHeight="1">
      <c r="A20" t="inlineStr">
        <is>
          <t>A 6262-2024</t>
        </is>
      </c>
      <c r="B20" t="inlineStr">
        <is>
          <t>avverkningsanmälan</t>
        </is>
      </c>
      <c r="C20" t="inlineStr">
        <is>
          <t>Föryngringsavverkning</t>
        </is>
      </c>
      <c r="D20" s="1" t="n">
        <v>45337</v>
      </c>
      <c r="E20" s="1" t="n">
        <v>46225</v>
      </c>
      <c r="F20" t="inlineStr">
        <is>
          <t>SKÅNE LÄN</t>
        </is>
      </c>
      <c r="G20" t="inlineStr">
        <is>
          <t>TOMELILLA</t>
        </is>
      </c>
      <c r="I20" t="n">
        <v>4.5</v>
      </c>
      <c r="J20" t="n">
        <v>1</v>
      </c>
      <c r="K20" t="n">
        <v>0</v>
      </c>
      <c r="L20" t="n">
        <v>0</v>
      </c>
      <c r="M20" t="n">
        <v>0</v>
      </c>
      <c r="N20" t="n">
        <v>0</v>
      </c>
      <c r="O20" t="n">
        <v>0</v>
      </c>
      <c r="P20" t="n">
        <v>0</v>
      </c>
      <c r="Q20" t="n">
        <v>0</v>
      </c>
      <c r="R20" t="n">
        <v>0</v>
      </c>
      <c r="S20" t="n">
        <v>1</v>
      </c>
      <c r="T20" t="n">
        <v>1</v>
      </c>
      <c r="U20" t="n">
        <v>1</v>
      </c>
      <c r="V20" s="2" t="inlineStr">
        <is>
          <t>Kungsfågel</t>
        </is>
      </c>
      <c r="W20">
        <f>HYPERLINK("https://klasma.github.io/Logging_1270/artfynd/A 6262-2024 artfynd.xlsx", "A 6262-2024")</f>
        <v/>
      </c>
      <c r="X20">
        <f>HYPERLINK("https://klasma.github.io/Logging_1270/kartor/A 6262-2024 karta.png", "A 6262-2024")</f>
        <v/>
      </c>
      <c r="Y20">
        <f>HYPERLINK("https://klasma.github.io/Logging_1270/kartor_geotiff/A 6262-2024 georefererad karta.tif", "A 6262-2024")</f>
        <v/>
      </c>
      <c r="AA20">
        <f>HYPERLINK("https://klasma.github.io/Logging_1270/klagomål/A 6262-2024 FSC-klagomål.docx", "A 6262-2024")</f>
        <v/>
      </c>
      <c r="AB20">
        <f>HYPERLINK("https://klasma.github.io/Logging_1270/klagomålsmail/A 6262-2024 FSC-klagomål mail.docx", "A 6262-2024")</f>
        <v/>
      </c>
      <c r="AC20">
        <f>HYPERLINK("https://klasma.github.io/Logging_1270/tillsyn/A 6262-2024 tillsynsbegäran.docx", "A 6262-2024")</f>
        <v/>
      </c>
      <c r="AD20">
        <f>HYPERLINK("https://klasma.github.io/Logging_1270/tillsynsmail/A 6262-2024 tillsynsbegäran mail.docx", "A 6262-2024")</f>
        <v/>
      </c>
    </row>
    <row r="21" ht="15" customHeight="1">
      <c r="A21" t="inlineStr">
        <is>
          <t>A 28862-2023</t>
        </is>
      </c>
      <c r="B21" t="inlineStr">
        <is>
          <t>avverkningsanmälan</t>
        </is>
      </c>
      <c r="C21" t="inlineStr">
        <is>
          <t>Föryngringsavverkning</t>
        </is>
      </c>
      <c r="D21" s="1" t="n">
        <v>45104</v>
      </c>
      <c r="E21" s="1" t="n">
        <v>46225</v>
      </c>
      <c r="F21" t="inlineStr">
        <is>
          <t>SKÅNE LÄN</t>
        </is>
      </c>
      <c r="G21" t="inlineStr">
        <is>
          <t>TOMELILLA</t>
        </is>
      </c>
      <c r="H21" t="inlineStr">
        <is>
          <t>Övriga Aktiebolag</t>
        </is>
      </c>
      <c r="I21" t="n">
        <v>6.6</v>
      </c>
      <c r="J21" t="n">
        <v>1</v>
      </c>
      <c r="K21" t="n">
        <v>0</v>
      </c>
      <c r="L21" t="n">
        <v>0</v>
      </c>
      <c r="M21" t="n">
        <v>0</v>
      </c>
      <c r="N21" t="n">
        <v>0</v>
      </c>
      <c r="O21" t="n">
        <v>0</v>
      </c>
      <c r="P21" t="n">
        <v>0</v>
      </c>
      <c r="Q21" t="n">
        <v>0</v>
      </c>
      <c r="R21" t="n">
        <v>0</v>
      </c>
      <c r="S21" t="n">
        <v>1</v>
      </c>
      <c r="T21" t="n">
        <v>1</v>
      </c>
      <c r="U21" t="n">
        <v>0</v>
      </c>
      <c r="V21" s="2" t="inlineStr">
        <is>
          <t>Långbensgroda</t>
        </is>
      </c>
      <c r="W21">
        <f>HYPERLINK("https://klasma.github.io/Logging_1270/artfynd/A 28862-2023 artfynd.xlsx", "A 28862-2023")</f>
        <v/>
      </c>
      <c r="X21">
        <f>HYPERLINK("https://klasma.github.io/Logging_1270/kartor/A 28862-2023 karta.png", "A 28862-2023")</f>
        <v/>
      </c>
      <c r="Y21">
        <f>HYPERLINK("https://klasma.github.io/Logging_1270/kartor_geotiff/A 28862-2023 georefererad karta.tif", "A 28862-2023")</f>
        <v/>
      </c>
      <c r="AA21">
        <f>HYPERLINK("https://klasma.github.io/Logging_1270/klagomål/A 28862-2023 FSC-klagomål.docx", "A 28862-2023")</f>
        <v/>
      </c>
      <c r="AB21">
        <f>HYPERLINK("https://klasma.github.io/Logging_1270/klagomålsmail/A 28862-2023 FSC-klagomål mail.docx", "A 28862-2023")</f>
        <v/>
      </c>
      <c r="AC21">
        <f>HYPERLINK("https://klasma.github.io/Logging_1270/tillsyn/A 28862-2023 tillsynsbegäran.docx", "A 28862-2023")</f>
        <v/>
      </c>
      <c r="AD21">
        <f>HYPERLINK("https://klasma.github.io/Logging_1270/tillsynsmail/A 28862-2023 tillsynsbegäran mail.docx", "A 28862-2023")</f>
        <v/>
      </c>
    </row>
    <row r="22" ht="15" customHeight="1">
      <c r="A22" t="inlineStr">
        <is>
          <t>A 60820-2023</t>
        </is>
      </c>
      <c r="B22" t="inlineStr">
        <is>
          <t>avverkningsanmälan</t>
        </is>
      </c>
      <c r="C22" t="inlineStr">
        <is>
          <t>Föryngringsavverkning</t>
        </is>
      </c>
      <c r="D22" s="1" t="n">
        <v>45260</v>
      </c>
      <c r="E22" s="1" t="n">
        <v>46225</v>
      </c>
      <c r="F22" t="inlineStr">
        <is>
          <t>SKÅNE LÄN</t>
        </is>
      </c>
      <c r="G22" t="inlineStr">
        <is>
          <t>TOMELILLA</t>
        </is>
      </c>
      <c r="I22" t="n">
        <v>4.6</v>
      </c>
      <c r="J22" t="n">
        <v>0</v>
      </c>
      <c r="K22" t="n">
        <v>1</v>
      </c>
      <c r="L22" t="n">
        <v>0</v>
      </c>
      <c r="M22" t="n">
        <v>0</v>
      </c>
      <c r="N22" t="n">
        <v>0</v>
      </c>
      <c r="O22" t="n">
        <v>0</v>
      </c>
      <c r="P22" t="n">
        <v>0</v>
      </c>
      <c r="Q22" t="n">
        <v>0</v>
      </c>
      <c r="R22" t="n">
        <v>0</v>
      </c>
      <c r="S22" t="n">
        <v>1</v>
      </c>
      <c r="T22" t="n">
        <v>1</v>
      </c>
      <c r="U22" t="n">
        <v>0</v>
      </c>
      <c r="V22" s="2" t="inlineStr">
        <is>
          <t>Guldlockmossa</t>
        </is>
      </c>
      <c r="W22">
        <f>HYPERLINK("https://klasma.github.io/Logging_1270/artfynd/A 60820-2023 artfynd.xlsx", "A 60820-2023")</f>
        <v/>
      </c>
      <c r="X22">
        <f>HYPERLINK("https://klasma.github.io/Logging_1270/kartor/A 60820-2023 karta.png", "A 60820-2023")</f>
        <v/>
      </c>
      <c r="Y22">
        <f>HYPERLINK("https://klasma.github.io/Logging_1270/kartor_geotiff/A 60820-2023 georefererad karta.tif", "A 60820-2023")</f>
        <v/>
      </c>
      <c r="AA22">
        <f>HYPERLINK("https://klasma.github.io/Logging_1270/klagomål/A 60820-2023 FSC-klagomål.docx", "A 60820-2023")</f>
        <v/>
      </c>
      <c r="AB22">
        <f>HYPERLINK("https://klasma.github.io/Logging_1270/klagomålsmail/A 60820-2023 FSC-klagomål mail.docx", "A 60820-2023")</f>
        <v/>
      </c>
      <c r="AC22">
        <f>HYPERLINK("https://klasma.github.io/Logging_1270/tillsyn/A 60820-2023 tillsynsbegäran.docx", "A 60820-2023")</f>
        <v/>
      </c>
      <c r="AD22">
        <f>HYPERLINK("https://klasma.github.io/Logging_1270/tillsynsmail/A 60820-2023 tillsynsbegäran mail.docx", "A 60820-2023")</f>
        <v/>
      </c>
    </row>
    <row r="23" ht="15" customHeight="1">
      <c r="A23" t="inlineStr">
        <is>
          <t>A 42387-2022</t>
        </is>
      </c>
      <c r="B23" t="inlineStr">
        <is>
          <t>avverkningsanmälan</t>
        </is>
      </c>
      <c r="C23" t="inlineStr">
        <is>
          <t>Föryngringsavverkning</t>
        </is>
      </c>
      <c r="D23" s="1" t="n">
        <v>44830</v>
      </c>
      <c r="E23" s="1" t="n">
        <v>46225</v>
      </c>
      <c r="F23" t="inlineStr">
        <is>
          <t>SKÅNE LÄN</t>
        </is>
      </c>
      <c r="G23" t="inlineStr">
        <is>
          <t>TOMELILLA</t>
        </is>
      </c>
      <c r="I23" t="n">
        <v>1.1</v>
      </c>
      <c r="J23" t="n">
        <v>0</v>
      </c>
      <c r="K23" t="n">
        <v>0</v>
      </c>
      <c r="L23" t="n">
        <v>1</v>
      </c>
      <c r="M23" t="n">
        <v>0</v>
      </c>
      <c r="N23" t="n">
        <v>0</v>
      </c>
      <c r="O23" t="n">
        <v>0</v>
      </c>
      <c r="P23" t="n">
        <v>0</v>
      </c>
      <c r="Q23" t="n">
        <v>1</v>
      </c>
      <c r="R23" t="n">
        <v>0</v>
      </c>
      <c r="S23" t="n">
        <v>1</v>
      </c>
      <c r="T23" t="n">
        <v>1</v>
      </c>
      <c r="U23" t="n">
        <v>0</v>
      </c>
      <c r="V23" s="2" t="inlineStr">
        <is>
          <t>Gullpudra</t>
        </is>
      </c>
      <c r="W23">
        <f>HYPERLINK("https://klasma.github.io/Logging_1270/artfynd/A 42387-2022 artfynd.xlsx", "A 42387-2022")</f>
        <v/>
      </c>
      <c r="X23">
        <f>HYPERLINK("https://klasma.github.io/Logging_1270/kartor/A 42387-2022 karta.png", "A 42387-2022")</f>
        <v/>
      </c>
      <c r="Y23">
        <f>HYPERLINK("https://klasma.github.io/Logging_1270/kartor_geotiff/A 42387-2022 georefererad karta.tif", "A 42387-2022")</f>
        <v/>
      </c>
      <c r="AA23">
        <f>HYPERLINK("https://klasma.github.io/Logging_1270/klagomål/A 42387-2022 FSC-klagomål.docx", "A 42387-2022")</f>
        <v/>
      </c>
      <c r="AB23">
        <f>HYPERLINK("https://klasma.github.io/Logging_1270/klagomålsmail/A 42387-2022 FSC-klagomål mail.docx", "A 42387-2022")</f>
        <v/>
      </c>
      <c r="AC23">
        <f>HYPERLINK("https://klasma.github.io/Logging_1270/tillsyn/A 42387-2022 tillsynsbegäran.docx", "A 42387-2022")</f>
        <v/>
      </c>
      <c r="AD23">
        <f>HYPERLINK("https://klasma.github.io/Logging_1270/tillsynsmail/A 42387-2022 tillsynsbegäran mail.docx", "A 42387-2022")</f>
        <v/>
      </c>
    </row>
    <row r="24" ht="15" customHeight="1">
      <c r="A24" t="inlineStr">
        <is>
          <t>A 756-2024</t>
        </is>
      </c>
      <c r="B24" t="inlineStr">
        <is>
          <t>avverkningsanmälan</t>
        </is>
      </c>
      <c r="C24" t="inlineStr">
        <is>
          <t>Föryngringsavverkning</t>
        </is>
      </c>
      <c r="D24" s="1" t="n">
        <v>45300</v>
      </c>
      <c r="E24" s="1" t="n">
        <v>46225</v>
      </c>
      <c r="F24" t="inlineStr">
        <is>
          <t>SKÅNE LÄN</t>
        </is>
      </c>
      <c r="G24" t="inlineStr">
        <is>
          <t>TOMELILLA</t>
        </is>
      </c>
      <c r="H24" t="inlineStr">
        <is>
          <t>Övriga Aktiebolag</t>
        </is>
      </c>
      <c r="I24" t="n">
        <v>13.1</v>
      </c>
      <c r="J24" t="n">
        <v>0</v>
      </c>
      <c r="K24" t="n">
        <v>0</v>
      </c>
      <c r="L24" t="n">
        <v>1</v>
      </c>
      <c r="M24" t="n">
        <v>0</v>
      </c>
      <c r="N24" t="n">
        <v>0</v>
      </c>
      <c r="O24" t="n">
        <v>0</v>
      </c>
      <c r="P24" t="n">
        <v>0</v>
      </c>
      <c r="Q24" t="n">
        <v>1</v>
      </c>
      <c r="R24" t="n">
        <v>0</v>
      </c>
      <c r="S24" t="n">
        <v>1</v>
      </c>
      <c r="T24" t="n">
        <v>1</v>
      </c>
      <c r="U24" t="n">
        <v>0</v>
      </c>
      <c r="V24" s="2" t="inlineStr">
        <is>
          <t>Borsttåg</t>
        </is>
      </c>
      <c r="W24">
        <f>HYPERLINK("https://klasma.github.io/Logging_1270/artfynd/A 756-2024 artfynd.xlsx", "A 756-2024")</f>
        <v/>
      </c>
      <c r="X24">
        <f>HYPERLINK("https://klasma.github.io/Logging_1270/kartor/A 756-2024 karta.png", "A 756-2024")</f>
        <v/>
      </c>
      <c r="Y24">
        <f>HYPERLINK("https://klasma.github.io/Logging_1270/kartor_geotiff/A 756-2024 georefererad karta.tif", "A 756-2024")</f>
        <v/>
      </c>
      <c r="AA24">
        <f>HYPERLINK("https://klasma.github.io/Logging_1270/klagomål/A 756-2024 FSC-klagomål.docx", "A 756-2024")</f>
        <v/>
      </c>
      <c r="AB24">
        <f>HYPERLINK("https://klasma.github.io/Logging_1270/klagomålsmail/A 756-2024 FSC-klagomål mail.docx", "A 756-2024")</f>
        <v/>
      </c>
      <c r="AC24">
        <f>HYPERLINK("https://klasma.github.io/Logging_1270/tillsyn/A 756-2024 tillsynsbegäran.docx", "A 756-2024")</f>
        <v/>
      </c>
      <c r="AD24">
        <f>HYPERLINK("https://klasma.github.io/Logging_1270/tillsynsmail/A 756-2024 tillsynsbegäran mail.docx", "A 756-2024")</f>
        <v/>
      </c>
    </row>
    <row r="25" ht="15" customHeight="1">
      <c r="A25" t="inlineStr">
        <is>
          <t>A 17907-2024</t>
        </is>
      </c>
      <c r="B25" t="inlineStr">
        <is>
          <t>avverkningsanmälan</t>
        </is>
      </c>
      <c r="C25" t="inlineStr">
        <is>
          <t>Föryngringsavverkning</t>
        </is>
      </c>
      <c r="D25" s="1" t="n">
        <v>45419</v>
      </c>
      <c r="E25" s="1" t="n">
        <v>46225</v>
      </c>
      <c r="F25" t="inlineStr">
        <is>
          <t>SKÅNE LÄN</t>
        </is>
      </c>
      <c r="G25" t="inlineStr">
        <is>
          <t>TOMELILLA</t>
        </is>
      </c>
      <c r="I25" t="n">
        <v>3.1</v>
      </c>
      <c r="J25" t="n">
        <v>0</v>
      </c>
      <c r="K25" t="n">
        <v>0</v>
      </c>
      <c r="L25" t="n">
        <v>0</v>
      </c>
      <c r="M25" t="n">
        <v>0</v>
      </c>
      <c r="N25" t="n">
        <v>0</v>
      </c>
      <c r="O25" t="n">
        <v>0</v>
      </c>
      <c r="P25" t="n">
        <v>0</v>
      </c>
      <c r="Q25" t="n">
        <v>0</v>
      </c>
      <c r="R25" t="n">
        <v>0</v>
      </c>
      <c r="S25" t="n">
        <v>1</v>
      </c>
      <c r="T25" t="n">
        <v>1</v>
      </c>
      <c r="U25" t="n">
        <v>1</v>
      </c>
      <c r="V25" s="2" t="inlineStr">
        <is>
          <t>Gulplister</t>
        </is>
      </c>
      <c r="W25">
        <f>HYPERLINK("https://klasma.github.io/Logging_1270/artfynd/A 17907-2024 artfynd.xlsx", "A 17907-2024")</f>
        <v/>
      </c>
      <c r="X25">
        <f>HYPERLINK("https://klasma.github.io/Logging_1270/kartor/A 17907-2024 karta.png", "A 17907-2024")</f>
        <v/>
      </c>
      <c r="Y25">
        <f>HYPERLINK("https://klasma.github.io/Logging_1270/kartor_geotiff/A 17907-2024 georefererad karta.tif", "A 17907-2024")</f>
        <v/>
      </c>
      <c r="AA25">
        <f>HYPERLINK("https://klasma.github.io/Logging_1270/klagomål/A 17907-2024 FSC-klagomål.docx", "A 17907-2024")</f>
        <v/>
      </c>
      <c r="AB25">
        <f>HYPERLINK("https://klasma.github.io/Logging_1270/klagomålsmail/A 17907-2024 FSC-klagomål mail.docx", "A 17907-2024")</f>
        <v/>
      </c>
      <c r="AC25">
        <f>HYPERLINK("https://klasma.github.io/Logging_1270/tillsyn/A 17907-2024 tillsynsbegäran.docx", "A 17907-2024")</f>
        <v/>
      </c>
      <c r="AD25">
        <f>HYPERLINK("https://klasma.github.io/Logging_1270/tillsynsmail/A 17907-2024 tillsynsbegäran mail.docx", "A 17907-2024")</f>
        <v/>
      </c>
    </row>
    <row r="26" ht="15" customHeight="1">
      <c r="A26" t="inlineStr">
        <is>
          <t>A 18158-2022</t>
        </is>
      </c>
      <c r="B26" t="inlineStr">
        <is>
          <t>avverkningsanmälan</t>
        </is>
      </c>
      <c r="C26" t="inlineStr">
        <is>
          <t>Föryngringsavverkning</t>
        </is>
      </c>
      <c r="D26" s="1" t="n">
        <v>44684</v>
      </c>
      <c r="E26" s="1" t="n">
        <v>46225</v>
      </c>
      <c r="F26" t="inlineStr">
        <is>
          <t>SKÅNE LÄN</t>
        </is>
      </c>
      <c r="G26" t="inlineStr">
        <is>
          <t>TOMELILLA</t>
        </is>
      </c>
      <c r="I26" t="n">
        <v>1.6</v>
      </c>
      <c r="J26" t="n">
        <v>0</v>
      </c>
      <c r="K26" t="n">
        <v>0</v>
      </c>
      <c r="L26" t="n">
        <v>0</v>
      </c>
      <c r="M26" t="n">
        <v>0</v>
      </c>
      <c r="N26" t="n">
        <v>0</v>
      </c>
      <c r="O26" t="n">
        <v>0</v>
      </c>
      <c r="P26" t="n">
        <v>0</v>
      </c>
      <c r="Q26" t="n">
        <v>0</v>
      </c>
      <c r="R26" t="n">
        <v>0</v>
      </c>
      <c r="S26" t="n">
        <v>0</v>
      </c>
      <c r="T26" t="n">
        <v>0</v>
      </c>
      <c r="U26" t="n">
        <v>0</v>
      </c>
      <c r="V26" s="2" t="inlineStr"/>
    </row>
    <row r="27" ht="15" customHeight="1">
      <c r="A27" t="inlineStr">
        <is>
          <t>A 74408-2021</t>
        </is>
      </c>
      <c r="B27" t="inlineStr">
        <is>
          <t>avverkningsanmälan</t>
        </is>
      </c>
      <c r="C27" t="inlineStr">
        <is>
          <t>Föryngringsavverkning</t>
        </is>
      </c>
      <c r="D27" s="1" t="n">
        <v>44560</v>
      </c>
      <c r="E27" s="1" t="n">
        <v>46225</v>
      </c>
      <c r="F27" t="inlineStr">
        <is>
          <t>SKÅNE LÄN</t>
        </is>
      </c>
      <c r="G27" t="inlineStr">
        <is>
          <t>TOMELILLA</t>
        </is>
      </c>
      <c r="I27" t="n">
        <v>0.9</v>
      </c>
      <c r="J27" t="n">
        <v>0</v>
      </c>
      <c r="K27" t="n">
        <v>0</v>
      </c>
      <c r="L27" t="n">
        <v>0</v>
      </c>
      <c r="M27" t="n">
        <v>0</v>
      </c>
      <c r="N27" t="n">
        <v>0</v>
      </c>
      <c r="O27" t="n">
        <v>0</v>
      </c>
      <c r="P27" t="n">
        <v>0</v>
      </c>
      <c r="Q27" t="n">
        <v>0</v>
      </c>
      <c r="R27" t="n">
        <v>0</v>
      </c>
      <c r="S27" t="n">
        <v>0</v>
      </c>
      <c r="T27" t="n">
        <v>0</v>
      </c>
      <c r="U27" t="n">
        <v>0</v>
      </c>
      <c r="V27" s="2" t="inlineStr"/>
    </row>
    <row r="28" ht="15" customHeight="1">
      <c r="A28" t="inlineStr">
        <is>
          <t>A 59131-2021</t>
        </is>
      </c>
      <c r="B28" t="inlineStr">
        <is>
          <t>avverkningsanmälan</t>
        </is>
      </c>
      <c r="C28" t="inlineStr">
        <is>
          <t>Föryngringsavverkning</t>
        </is>
      </c>
      <c r="D28" s="1" t="n">
        <v>44490</v>
      </c>
      <c r="E28" s="1" t="n">
        <v>46225</v>
      </c>
      <c r="F28" t="inlineStr">
        <is>
          <t>SKÅNE LÄN</t>
        </is>
      </c>
      <c r="G28" t="inlineStr">
        <is>
          <t>TOMELILLA</t>
        </is>
      </c>
      <c r="I28" t="n">
        <v>3.2</v>
      </c>
      <c r="J28" t="n">
        <v>0</v>
      </c>
      <c r="K28" t="n">
        <v>0</v>
      </c>
      <c r="L28" t="n">
        <v>0</v>
      </c>
      <c r="M28" t="n">
        <v>0</v>
      </c>
      <c r="N28" t="n">
        <v>0</v>
      </c>
      <c r="O28" t="n">
        <v>0</v>
      </c>
      <c r="P28" t="n">
        <v>0</v>
      </c>
      <c r="Q28" t="n">
        <v>0</v>
      </c>
      <c r="R28" t="n">
        <v>0</v>
      </c>
      <c r="S28" t="n">
        <v>0</v>
      </c>
      <c r="T28" t="n">
        <v>0</v>
      </c>
      <c r="U28" t="n">
        <v>0</v>
      </c>
      <c r="V28" s="2" t="inlineStr"/>
    </row>
    <row r="29" ht="15" customHeight="1">
      <c r="A29" t="inlineStr">
        <is>
          <t>A 19651-2022</t>
        </is>
      </c>
      <c r="B29" t="inlineStr">
        <is>
          <t>avverkningsanmälan</t>
        </is>
      </c>
      <c r="C29" t="inlineStr">
        <is>
          <t>Föryngringsavverkning</t>
        </is>
      </c>
      <c r="D29" s="1" t="n">
        <v>44694</v>
      </c>
      <c r="E29" s="1" t="n">
        <v>46225</v>
      </c>
      <c r="F29" t="inlineStr">
        <is>
          <t>SKÅNE LÄN</t>
        </is>
      </c>
      <c r="G29" t="inlineStr">
        <is>
          <t>TOMELILLA</t>
        </is>
      </c>
      <c r="I29" t="n">
        <v>0.4</v>
      </c>
      <c r="J29" t="n">
        <v>0</v>
      </c>
      <c r="K29" t="n">
        <v>0</v>
      </c>
      <c r="L29" t="n">
        <v>0</v>
      </c>
      <c r="M29" t="n">
        <v>0</v>
      </c>
      <c r="N29" t="n">
        <v>0</v>
      </c>
      <c r="O29" t="n">
        <v>0</v>
      </c>
      <c r="P29" t="n">
        <v>0</v>
      </c>
      <c r="Q29" t="n">
        <v>0</v>
      </c>
      <c r="R29" t="n">
        <v>0</v>
      </c>
      <c r="S29" t="n">
        <v>0</v>
      </c>
      <c r="T29" t="n">
        <v>0</v>
      </c>
      <c r="U29" t="n">
        <v>0</v>
      </c>
      <c r="V29" s="2" t="inlineStr"/>
    </row>
    <row r="30" ht="15" customHeight="1">
      <c r="A30" t="inlineStr">
        <is>
          <t>A 15197-2022</t>
        </is>
      </c>
      <c r="B30" t="inlineStr">
        <is>
          <t>avverkningsanmälan</t>
        </is>
      </c>
      <c r="C30" t="inlineStr">
        <is>
          <t>Föryngringsavverkning</t>
        </is>
      </c>
      <c r="D30" s="1" t="n">
        <v>44658</v>
      </c>
      <c r="E30" s="1" t="n">
        <v>46225</v>
      </c>
      <c r="F30" t="inlineStr">
        <is>
          <t>SKÅNE LÄN</t>
        </is>
      </c>
      <c r="G30" t="inlineStr">
        <is>
          <t>TOMELILLA</t>
        </is>
      </c>
      <c r="H30" t="inlineStr">
        <is>
          <t>Övriga Aktiebolag</t>
        </is>
      </c>
      <c r="I30" t="n">
        <v>4.9</v>
      </c>
      <c r="J30" t="n">
        <v>0</v>
      </c>
      <c r="K30" t="n">
        <v>0</v>
      </c>
      <c r="L30" t="n">
        <v>0</v>
      </c>
      <c r="M30" t="n">
        <v>0</v>
      </c>
      <c r="N30" t="n">
        <v>0</v>
      </c>
      <c r="O30" t="n">
        <v>0</v>
      </c>
      <c r="P30" t="n">
        <v>0</v>
      </c>
      <c r="Q30" t="n">
        <v>0</v>
      </c>
      <c r="R30" t="n">
        <v>0</v>
      </c>
      <c r="S30" t="n">
        <v>0</v>
      </c>
      <c r="T30" t="n">
        <v>0</v>
      </c>
      <c r="U30" t="n">
        <v>0</v>
      </c>
      <c r="V30" s="2" t="inlineStr"/>
    </row>
    <row r="31" ht="15" customHeight="1">
      <c r="A31" t="inlineStr">
        <is>
          <t>A 12919-2022</t>
        </is>
      </c>
      <c r="B31" t="inlineStr">
        <is>
          <t>avverkningsanmälan</t>
        </is>
      </c>
      <c r="C31" t="inlineStr">
        <is>
          <t>Föryngringsavverkning</t>
        </is>
      </c>
      <c r="D31" s="1" t="n">
        <v>44642</v>
      </c>
      <c r="E31" s="1" t="n">
        <v>46225</v>
      </c>
      <c r="F31" t="inlineStr">
        <is>
          <t>SKÅNE LÄN</t>
        </is>
      </c>
      <c r="G31" t="inlineStr">
        <is>
          <t>TOMELILLA</t>
        </is>
      </c>
      <c r="H31" t="inlineStr">
        <is>
          <t>Övriga Aktiebolag</t>
        </is>
      </c>
      <c r="I31" t="n">
        <v>3.2</v>
      </c>
      <c r="J31" t="n">
        <v>0</v>
      </c>
      <c r="K31" t="n">
        <v>0</v>
      </c>
      <c r="L31" t="n">
        <v>0</v>
      </c>
      <c r="M31" t="n">
        <v>0</v>
      </c>
      <c r="N31" t="n">
        <v>0</v>
      </c>
      <c r="O31" t="n">
        <v>0</v>
      </c>
      <c r="P31" t="n">
        <v>0</v>
      </c>
      <c r="Q31" t="n">
        <v>0</v>
      </c>
      <c r="R31" t="n">
        <v>0</v>
      </c>
      <c r="S31" t="n">
        <v>0</v>
      </c>
      <c r="T31" t="n">
        <v>0</v>
      </c>
      <c r="U31" t="n">
        <v>0</v>
      </c>
      <c r="V31" s="2" t="inlineStr"/>
    </row>
    <row r="32" ht="15" customHeight="1">
      <c r="A32" t="inlineStr">
        <is>
          <t>A 23461-2022</t>
        </is>
      </c>
      <c r="B32" t="inlineStr">
        <is>
          <t>avverkningsanmälan</t>
        </is>
      </c>
      <c r="C32" t="inlineStr">
        <is>
          <t>Föryngringsavverkning</t>
        </is>
      </c>
      <c r="D32" s="1" t="n">
        <v>44721</v>
      </c>
      <c r="E32" s="1" t="n">
        <v>46225</v>
      </c>
      <c r="F32" t="inlineStr">
        <is>
          <t>SKÅNE LÄN</t>
        </is>
      </c>
      <c r="G32" t="inlineStr">
        <is>
          <t>TOMELILLA</t>
        </is>
      </c>
      <c r="H32" t="inlineStr">
        <is>
          <t>Övriga Aktiebolag</t>
        </is>
      </c>
      <c r="I32" t="n">
        <v>3.5</v>
      </c>
      <c r="J32" t="n">
        <v>0</v>
      </c>
      <c r="K32" t="n">
        <v>0</v>
      </c>
      <c r="L32" t="n">
        <v>0</v>
      </c>
      <c r="M32" t="n">
        <v>0</v>
      </c>
      <c r="N32" t="n">
        <v>0</v>
      </c>
      <c r="O32" t="n">
        <v>0</v>
      </c>
      <c r="P32" t="n">
        <v>0</v>
      </c>
      <c r="Q32" t="n">
        <v>0</v>
      </c>
      <c r="R32" t="n">
        <v>0</v>
      </c>
      <c r="S32" t="n">
        <v>0</v>
      </c>
      <c r="T32" t="n">
        <v>0</v>
      </c>
      <c r="U32" t="n">
        <v>0</v>
      </c>
      <c r="V32" s="2" t="inlineStr"/>
    </row>
    <row r="33" ht="15" customHeight="1">
      <c r="A33" t="inlineStr">
        <is>
          <t>A 47231-2023</t>
        </is>
      </c>
      <c r="B33" t="inlineStr">
        <is>
          <t>avverkningsanmälan</t>
        </is>
      </c>
      <c r="C33" t="inlineStr">
        <is>
          <t>Föryngringsavverkning</t>
        </is>
      </c>
      <c r="D33" s="1" t="n">
        <v>45202</v>
      </c>
      <c r="E33" s="1" t="n">
        <v>46225</v>
      </c>
      <c r="F33" t="inlineStr">
        <is>
          <t>SKÅNE LÄN</t>
        </is>
      </c>
      <c r="G33" t="inlineStr">
        <is>
          <t>TOMELILLA</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11802-2024</t>
        </is>
      </c>
      <c r="B34" t="inlineStr">
        <is>
          <t>avverkningsanmälan</t>
        </is>
      </c>
      <c r="C34" t="inlineStr">
        <is>
          <t>Föryngringsavverkning</t>
        </is>
      </c>
      <c r="D34" s="1" t="n">
        <v>45375</v>
      </c>
      <c r="E34" s="1" t="n">
        <v>46225</v>
      </c>
      <c r="F34" t="inlineStr">
        <is>
          <t>SKÅNE LÄN</t>
        </is>
      </c>
      <c r="G34" t="inlineStr">
        <is>
          <t>TOMELILLA</t>
        </is>
      </c>
      <c r="H34" t="inlineStr">
        <is>
          <t>Övriga Aktiebolag</t>
        </is>
      </c>
      <c r="I34" t="n">
        <v>4.7</v>
      </c>
      <c r="J34" t="n">
        <v>0</v>
      </c>
      <c r="K34" t="n">
        <v>0</v>
      </c>
      <c r="L34" t="n">
        <v>0</v>
      </c>
      <c r="M34" t="n">
        <v>0</v>
      </c>
      <c r="N34" t="n">
        <v>0</v>
      </c>
      <c r="O34" t="n">
        <v>0</v>
      </c>
      <c r="P34" t="n">
        <v>0</v>
      </c>
      <c r="Q34" t="n">
        <v>0</v>
      </c>
      <c r="R34" t="n">
        <v>0</v>
      </c>
      <c r="S34" t="n">
        <v>0</v>
      </c>
      <c r="T34" t="n">
        <v>0</v>
      </c>
      <c r="U34" t="n">
        <v>0</v>
      </c>
      <c r="V34" s="2" t="inlineStr"/>
    </row>
    <row r="35" ht="15" customHeight="1">
      <c r="A35" t="inlineStr">
        <is>
          <t>A 4023-2024</t>
        </is>
      </c>
      <c r="B35" t="inlineStr">
        <is>
          <t>avverkningsanmälan</t>
        </is>
      </c>
      <c r="C35" t="inlineStr">
        <is>
          <t>Föryngringsavverkning</t>
        </is>
      </c>
      <c r="D35" s="1" t="n">
        <v>45323</v>
      </c>
      <c r="E35" s="1" t="n">
        <v>46225</v>
      </c>
      <c r="F35" t="inlineStr">
        <is>
          <t>SKÅNE LÄN</t>
        </is>
      </c>
      <c r="G35" t="inlineStr">
        <is>
          <t>TOMELILLA</t>
        </is>
      </c>
      <c r="H35" t="inlineStr">
        <is>
          <t>Övriga Aktiebolag</t>
        </is>
      </c>
      <c r="I35" t="n">
        <v>15.2</v>
      </c>
      <c r="J35" t="n">
        <v>0</v>
      </c>
      <c r="K35" t="n">
        <v>0</v>
      </c>
      <c r="L35" t="n">
        <v>0</v>
      </c>
      <c r="M35" t="n">
        <v>0</v>
      </c>
      <c r="N35" t="n">
        <v>0</v>
      </c>
      <c r="O35" t="n">
        <v>0</v>
      </c>
      <c r="P35" t="n">
        <v>0</v>
      </c>
      <c r="Q35" t="n">
        <v>0</v>
      </c>
      <c r="R35" t="n">
        <v>0</v>
      </c>
      <c r="S35" t="n">
        <v>0</v>
      </c>
      <c r="T35" t="n">
        <v>0</v>
      </c>
      <c r="U35" t="n">
        <v>0</v>
      </c>
      <c r="V35" s="2" t="inlineStr"/>
    </row>
    <row r="36" ht="15" customHeight="1">
      <c r="A36" t="inlineStr">
        <is>
          <t>A 19454-2024</t>
        </is>
      </c>
      <c r="B36" t="inlineStr">
        <is>
          <t>avverkningsanmälan</t>
        </is>
      </c>
      <c r="C36" t="inlineStr">
        <is>
          <t>Föryngringsavverkning</t>
        </is>
      </c>
      <c r="D36" s="1" t="n">
        <v>45429</v>
      </c>
      <c r="E36" s="1" t="n">
        <v>46225</v>
      </c>
      <c r="F36" t="inlineStr">
        <is>
          <t>SKÅNE LÄN</t>
        </is>
      </c>
      <c r="G36" t="inlineStr">
        <is>
          <t>TOMELILLA</t>
        </is>
      </c>
      <c r="I36" t="n">
        <v>2.1</v>
      </c>
      <c r="J36" t="n">
        <v>0</v>
      </c>
      <c r="K36" t="n">
        <v>0</v>
      </c>
      <c r="L36" t="n">
        <v>0</v>
      </c>
      <c r="M36" t="n">
        <v>0</v>
      </c>
      <c r="N36" t="n">
        <v>0</v>
      </c>
      <c r="O36" t="n">
        <v>0</v>
      </c>
      <c r="P36" t="n">
        <v>0</v>
      </c>
      <c r="Q36" t="n">
        <v>0</v>
      </c>
      <c r="R36" t="n">
        <v>0</v>
      </c>
      <c r="S36" t="n">
        <v>0</v>
      </c>
      <c r="T36" t="n">
        <v>0</v>
      </c>
      <c r="U36" t="n">
        <v>0</v>
      </c>
      <c r="V36" s="2" t="inlineStr"/>
    </row>
    <row r="37" ht="15" customHeight="1">
      <c r="A37" t="inlineStr">
        <is>
          <t>A 23813-2024</t>
        </is>
      </c>
      <c r="B37" t="inlineStr">
        <is>
          <t>avverkningsanmälan</t>
        </is>
      </c>
      <c r="C37" t="inlineStr">
        <is>
          <t>Föryngringsavverkning</t>
        </is>
      </c>
      <c r="D37" s="1" t="n">
        <v>45455</v>
      </c>
      <c r="E37" s="1" t="n">
        <v>46225</v>
      </c>
      <c r="F37" t="inlineStr">
        <is>
          <t>SKÅNE LÄN</t>
        </is>
      </c>
      <c r="G37" t="inlineStr">
        <is>
          <t>TOMELILLA</t>
        </is>
      </c>
      <c r="I37" t="n">
        <v>2</v>
      </c>
      <c r="J37" t="n">
        <v>0</v>
      </c>
      <c r="K37" t="n">
        <v>0</v>
      </c>
      <c r="L37" t="n">
        <v>0</v>
      </c>
      <c r="M37" t="n">
        <v>0</v>
      </c>
      <c r="N37" t="n">
        <v>0</v>
      </c>
      <c r="O37" t="n">
        <v>0</v>
      </c>
      <c r="P37" t="n">
        <v>0</v>
      </c>
      <c r="Q37" t="n">
        <v>0</v>
      </c>
      <c r="R37" t="n">
        <v>0</v>
      </c>
      <c r="S37" t="n">
        <v>0</v>
      </c>
      <c r="T37" t="n">
        <v>0</v>
      </c>
      <c r="U37" t="n">
        <v>0</v>
      </c>
      <c r="V37" s="2" t="inlineStr"/>
    </row>
    <row r="38" ht="15" customHeight="1">
      <c r="A38" t="inlineStr">
        <is>
          <t>A 24248-2024</t>
        </is>
      </c>
      <c r="B38" t="inlineStr">
        <is>
          <t>avverkningsanmälan</t>
        </is>
      </c>
      <c r="C38" t="inlineStr">
        <is>
          <t>Föryngringsavverkning</t>
        </is>
      </c>
      <c r="D38" s="1" t="n">
        <v>45457</v>
      </c>
      <c r="E38" s="1" t="n">
        <v>46225</v>
      </c>
      <c r="F38" t="inlineStr">
        <is>
          <t>SKÅNE LÄN</t>
        </is>
      </c>
      <c r="G38" t="inlineStr">
        <is>
          <t>TOMELILLA</t>
        </is>
      </c>
      <c r="I38" t="n">
        <v>2</v>
      </c>
      <c r="J38" t="n">
        <v>0</v>
      </c>
      <c r="K38" t="n">
        <v>0</v>
      </c>
      <c r="L38" t="n">
        <v>0</v>
      </c>
      <c r="M38" t="n">
        <v>0</v>
      </c>
      <c r="N38" t="n">
        <v>0</v>
      </c>
      <c r="O38" t="n">
        <v>0</v>
      </c>
      <c r="P38" t="n">
        <v>0</v>
      </c>
      <c r="Q38" t="n">
        <v>0</v>
      </c>
      <c r="R38" t="n">
        <v>0</v>
      </c>
      <c r="S38" t="n">
        <v>0</v>
      </c>
      <c r="T38" t="n">
        <v>0</v>
      </c>
      <c r="U38" t="n">
        <v>0</v>
      </c>
      <c r="V38" s="2" t="inlineStr"/>
    </row>
    <row r="39" ht="15" customHeight="1">
      <c r="A39" t="inlineStr">
        <is>
          <t>A 2548-2024</t>
        </is>
      </c>
      <c r="B39" t="inlineStr">
        <is>
          <t>avverkningsanmälan</t>
        </is>
      </c>
      <c r="C39" t="inlineStr">
        <is>
          <t>Föryngringsavverkning</t>
        </is>
      </c>
      <c r="D39" s="1" t="n">
        <v>45313</v>
      </c>
      <c r="E39" s="1" t="n">
        <v>46225</v>
      </c>
      <c r="F39" t="inlineStr">
        <is>
          <t>SKÅNE LÄN</t>
        </is>
      </c>
      <c r="G39" t="inlineStr">
        <is>
          <t>TOMELILLA</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38787-2024</t>
        </is>
      </c>
      <c r="B40" t="inlineStr">
        <is>
          <t>avverkningsanmälan</t>
        </is>
      </c>
      <c r="C40" t="inlineStr">
        <is>
          <t>Föryngringsavverkning</t>
        </is>
      </c>
      <c r="D40" s="1" t="n">
        <v>45547</v>
      </c>
      <c r="E40" s="1" t="n">
        <v>46225</v>
      </c>
      <c r="F40" t="inlineStr">
        <is>
          <t>SKÅNE LÄN</t>
        </is>
      </c>
      <c r="G40" t="inlineStr">
        <is>
          <t>TOMELILLA</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45729-2024</t>
        </is>
      </c>
      <c r="B41" t="inlineStr">
        <is>
          <t>avverkningsanmälan</t>
        </is>
      </c>
      <c r="C41" t="inlineStr">
        <is>
          <t>Föryngringsavverkning</t>
        </is>
      </c>
      <c r="D41" s="1" t="n">
        <v>45579</v>
      </c>
      <c r="E41" s="1" t="n">
        <v>46225</v>
      </c>
      <c r="F41" t="inlineStr">
        <is>
          <t>SKÅNE LÄN</t>
        </is>
      </c>
      <c r="G41" t="inlineStr">
        <is>
          <t>TOMELILLA</t>
        </is>
      </c>
      <c r="I41" t="n">
        <v>10.1</v>
      </c>
      <c r="J41" t="n">
        <v>0</v>
      </c>
      <c r="K41" t="n">
        <v>0</v>
      </c>
      <c r="L41" t="n">
        <v>0</v>
      </c>
      <c r="M41" t="n">
        <v>0</v>
      </c>
      <c r="N41" t="n">
        <v>0</v>
      </c>
      <c r="O41" t="n">
        <v>0</v>
      </c>
      <c r="P41" t="n">
        <v>0</v>
      </c>
      <c r="Q41" t="n">
        <v>0</v>
      </c>
      <c r="R41" t="n">
        <v>0</v>
      </c>
      <c r="S41" t="n">
        <v>0</v>
      </c>
      <c r="T41" t="n">
        <v>0</v>
      </c>
      <c r="U41" t="n">
        <v>0</v>
      </c>
      <c r="V41" s="2" t="inlineStr"/>
    </row>
    <row r="42" ht="15" customHeight="1">
      <c r="A42" t="inlineStr">
        <is>
          <t>A 44675-2024</t>
        </is>
      </c>
      <c r="B42" t="inlineStr">
        <is>
          <t>avverkningsanmälan</t>
        </is>
      </c>
      <c r="C42" t="inlineStr">
        <is>
          <t>Avverkning för att bevara och utveckla /försöksver</t>
        </is>
      </c>
      <c r="D42" s="1" t="n">
        <v>45574</v>
      </c>
      <c r="E42" s="1" t="n">
        <v>46225</v>
      </c>
      <c r="F42" t="inlineStr">
        <is>
          <t>SKÅNE LÄN</t>
        </is>
      </c>
      <c r="G42" t="inlineStr">
        <is>
          <t>TOMELILLA</t>
        </is>
      </c>
      <c r="H42" t="inlineStr">
        <is>
          <t>Sveaskog</t>
        </is>
      </c>
      <c r="I42" t="n">
        <v>11.2</v>
      </c>
      <c r="J42" t="n">
        <v>0</v>
      </c>
      <c r="K42" t="n">
        <v>0</v>
      </c>
      <c r="L42" t="n">
        <v>0</v>
      </c>
      <c r="M42" t="n">
        <v>0</v>
      </c>
      <c r="N42" t="n">
        <v>0</v>
      </c>
      <c r="O42" t="n">
        <v>0</v>
      </c>
      <c r="P42" t="n">
        <v>0</v>
      </c>
      <c r="Q42" t="n">
        <v>0</v>
      </c>
      <c r="R42" t="n">
        <v>0</v>
      </c>
      <c r="S42" t="n">
        <v>0</v>
      </c>
      <c r="T42" t="n">
        <v>0</v>
      </c>
      <c r="U42" t="n">
        <v>0</v>
      </c>
      <c r="V42" s="2" t="inlineStr"/>
    </row>
    <row r="43" ht="15" customHeight="1">
      <c r="A43" t="inlineStr">
        <is>
          <t>A 11811-2025</t>
        </is>
      </c>
      <c r="B43" t="inlineStr">
        <is>
          <t>avverkningsanmälan</t>
        </is>
      </c>
      <c r="C43" t="inlineStr">
        <is>
          <t>Föryngringsavverkning</t>
        </is>
      </c>
      <c r="D43" s="1" t="n">
        <v>45727</v>
      </c>
      <c r="E43" s="1" t="n">
        <v>46225</v>
      </c>
      <c r="F43" t="inlineStr">
        <is>
          <t>SKÅNE LÄN</t>
        </is>
      </c>
      <c r="G43" t="inlineStr">
        <is>
          <t>TOMELILLA</t>
        </is>
      </c>
      <c r="I43" t="n">
        <v>9.699999999999999</v>
      </c>
      <c r="J43" t="n">
        <v>0</v>
      </c>
      <c r="K43" t="n">
        <v>0</v>
      </c>
      <c r="L43" t="n">
        <v>0</v>
      </c>
      <c r="M43" t="n">
        <v>0</v>
      </c>
      <c r="N43" t="n">
        <v>0</v>
      </c>
      <c r="O43" t="n">
        <v>0</v>
      </c>
      <c r="P43" t="n">
        <v>0</v>
      </c>
      <c r="Q43" t="n">
        <v>0</v>
      </c>
      <c r="R43" t="n">
        <v>0</v>
      </c>
      <c r="S43" t="n">
        <v>0</v>
      </c>
      <c r="T43" t="n">
        <v>0</v>
      </c>
      <c r="U43" t="n">
        <v>0</v>
      </c>
      <c r="V43" s="2" t="inlineStr"/>
    </row>
    <row r="44" ht="15" customHeight="1">
      <c r="A44" t="inlineStr">
        <is>
          <t>A 49815-2025</t>
        </is>
      </c>
      <c r="B44" t="inlineStr">
        <is>
          <t>avverkningsanmälan</t>
        </is>
      </c>
      <c r="C44" t="inlineStr">
        <is>
          <t>Föryngringsavverkning</t>
        </is>
      </c>
      <c r="D44" s="1" t="n">
        <v>45940</v>
      </c>
      <c r="E44" s="1" t="n">
        <v>46225</v>
      </c>
      <c r="F44" t="inlineStr">
        <is>
          <t>SKÅNE LÄN</t>
        </is>
      </c>
      <c r="G44" t="inlineStr">
        <is>
          <t>TOMELILLA</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4969-2026</t>
        </is>
      </c>
      <c r="B45" t="inlineStr">
        <is>
          <t>avverkningsanmälan</t>
        </is>
      </c>
      <c r="C45" t="inlineStr">
        <is>
          <t>Föryngringsavverkning</t>
        </is>
      </c>
      <c r="D45" s="1" t="n">
        <v>46049</v>
      </c>
      <c r="E45" s="1" t="n">
        <v>46225</v>
      </c>
      <c r="F45" t="inlineStr">
        <is>
          <t>SKÅNE LÄN</t>
        </is>
      </c>
      <c r="G45" t="inlineStr">
        <is>
          <t>TOMELILLA</t>
        </is>
      </c>
      <c r="H45" t="inlineStr">
        <is>
          <t>Övriga Aktiebolag</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15158-2025</t>
        </is>
      </c>
      <c r="B46" t="inlineStr">
        <is>
          <t>avverkningsanmälan</t>
        </is>
      </c>
      <c r="C46" t="inlineStr">
        <is>
          <t>Föryngringsavverkning</t>
        </is>
      </c>
      <c r="D46" s="1" t="n">
        <v>45744</v>
      </c>
      <c r="E46" s="1" t="n">
        <v>46225</v>
      </c>
      <c r="F46" t="inlineStr">
        <is>
          <t>SKÅNE LÄN</t>
        </is>
      </c>
      <c r="G46" t="inlineStr">
        <is>
          <t>TOMELILLA</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43306-2025</t>
        </is>
      </c>
      <c r="B47" t="inlineStr">
        <is>
          <t>avverkningsanmälan</t>
        </is>
      </c>
      <c r="C47" t="inlineStr">
        <is>
          <t>Föryngringsavverkning</t>
        </is>
      </c>
      <c r="D47" s="1" t="n">
        <v>45910</v>
      </c>
      <c r="E47" s="1" t="n">
        <v>46225</v>
      </c>
      <c r="F47" t="inlineStr">
        <is>
          <t>SKÅNE LÄN</t>
        </is>
      </c>
      <c r="G47" t="inlineStr">
        <is>
          <t>TOMELILLA</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17316-2024</t>
        </is>
      </c>
      <c r="B48" t="inlineStr">
        <is>
          <t>avverkningsanmälan</t>
        </is>
      </c>
      <c r="C48" t="inlineStr">
        <is>
          <t>Föryngringsavverkning</t>
        </is>
      </c>
      <c r="D48" s="1" t="n">
        <v>45414</v>
      </c>
      <c r="E48" s="1" t="n">
        <v>46225</v>
      </c>
      <c r="F48" t="inlineStr">
        <is>
          <t>SKÅNE LÄN</t>
        </is>
      </c>
      <c r="G48" t="inlineStr">
        <is>
          <t>TOMELILLA</t>
        </is>
      </c>
      <c r="H48" t="inlineStr">
        <is>
          <t>Övriga Aktiebolag</t>
        </is>
      </c>
      <c r="I48" t="n">
        <v>4.3</v>
      </c>
      <c r="J48" t="n">
        <v>0</v>
      </c>
      <c r="K48" t="n">
        <v>0</v>
      </c>
      <c r="L48" t="n">
        <v>0</v>
      </c>
      <c r="M48" t="n">
        <v>0</v>
      </c>
      <c r="N48" t="n">
        <v>0</v>
      </c>
      <c r="O48" t="n">
        <v>0</v>
      </c>
      <c r="P48" t="n">
        <v>0</v>
      </c>
      <c r="Q48" t="n">
        <v>0</v>
      </c>
      <c r="R48" t="n">
        <v>0</v>
      </c>
      <c r="S48" t="n">
        <v>0</v>
      </c>
      <c r="T48" t="n">
        <v>0</v>
      </c>
      <c r="U48" t="n">
        <v>0</v>
      </c>
      <c r="V48" s="2" t="inlineStr"/>
    </row>
    <row r="49" ht="15" customHeight="1">
      <c r="A49" t="inlineStr">
        <is>
          <t>A 35792-2025</t>
        </is>
      </c>
      <c r="B49" t="inlineStr">
        <is>
          <t>avverkningsanmälan</t>
        </is>
      </c>
      <c r="C49" t="inlineStr">
        <is>
          <t>Föryngringsavverkning</t>
        </is>
      </c>
      <c r="D49" s="1" t="n">
        <v>45861</v>
      </c>
      <c r="E49" s="1" t="n">
        <v>46225</v>
      </c>
      <c r="F49" t="inlineStr">
        <is>
          <t>SKÅNE LÄN</t>
        </is>
      </c>
      <c r="G49" t="inlineStr">
        <is>
          <t>TOMELILLA</t>
        </is>
      </c>
      <c r="H49" t="inlineStr">
        <is>
          <t>Övriga Aktiebolag</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35971-2025</t>
        </is>
      </c>
      <c r="B50" t="inlineStr">
        <is>
          <t>avverkningsanmälan</t>
        </is>
      </c>
      <c r="C50" t="inlineStr">
        <is>
          <t>Föryngringsavverkning</t>
        </is>
      </c>
      <c r="D50" s="1" t="n">
        <v>45863</v>
      </c>
      <c r="E50" s="1" t="n">
        <v>46225</v>
      </c>
      <c r="F50" t="inlineStr">
        <is>
          <t>SKÅNE LÄN</t>
        </is>
      </c>
      <c r="G50" t="inlineStr">
        <is>
          <t>TOMELILLA</t>
        </is>
      </c>
      <c r="I50" t="n">
        <v>1.2</v>
      </c>
      <c r="J50" t="n">
        <v>0</v>
      </c>
      <c r="K50" t="n">
        <v>0</v>
      </c>
      <c r="L50" t="n">
        <v>0</v>
      </c>
      <c r="M50" t="n">
        <v>0</v>
      </c>
      <c r="N50" t="n">
        <v>0</v>
      </c>
      <c r="O50" t="n">
        <v>0</v>
      </c>
      <c r="P50" t="n">
        <v>0</v>
      </c>
      <c r="Q50" t="n">
        <v>0</v>
      </c>
      <c r="R50" t="n">
        <v>0</v>
      </c>
      <c r="S50" t="n">
        <v>0</v>
      </c>
      <c r="T50" t="n">
        <v>0</v>
      </c>
      <c r="U50" t="n">
        <v>0</v>
      </c>
      <c r="V50" s="2" t="inlineStr"/>
    </row>
    <row r="51" ht="15" customHeight="1">
      <c r="A51" t="inlineStr">
        <is>
          <t>A 61970-2025</t>
        </is>
      </c>
      <c r="B51" t="inlineStr">
        <is>
          <t>avverkningsanmälan</t>
        </is>
      </c>
      <c r="C51" t="inlineStr">
        <is>
          <t>Avverkning för annat ändamål</t>
        </is>
      </c>
      <c r="D51" s="1" t="n">
        <v>46003</v>
      </c>
      <c r="E51" s="1" t="n">
        <v>46225</v>
      </c>
      <c r="F51" t="inlineStr">
        <is>
          <t>SKÅNE LÄN</t>
        </is>
      </c>
      <c r="G51" t="inlineStr">
        <is>
          <t>TOMELILLA</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48171-2025</t>
        </is>
      </c>
      <c r="B52" t="inlineStr">
        <is>
          <t>avverkningsanmälan</t>
        </is>
      </c>
      <c r="C52" t="inlineStr">
        <is>
          <t>Föryngringsavverkning</t>
        </is>
      </c>
      <c r="D52" s="1" t="n">
        <v>45933</v>
      </c>
      <c r="E52" s="1" t="n">
        <v>46225</v>
      </c>
      <c r="F52" t="inlineStr">
        <is>
          <t>SKÅNE LÄN</t>
        </is>
      </c>
      <c r="G52" t="inlineStr">
        <is>
          <t>TOMELILLA</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39791-2025</t>
        </is>
      </c>
      <c r="B53" t="inlineStr">
        <is>
          <t>avverkningsanmälan</t>
        </is>
      </c>
      <c r="C53" t="inlineStr">
        <is>
          <t>Föryngringsavverkning</t>
        </is>
      </c>
      <c r="D53" s="1" t="n">
        <v>45891</v>
      </c>
      <c r="E53" s="1" t="n">
        <v>46225</v>
      </c>
      <c r="F53" t="inlineStr">
        <is>
          <t>SKÅNE LÄN</t>
        </is>
      </c>
      <c r="G53" t="inlineStr">
        <is>
          <t>TOMELILLA</t>
        </is>
      </c>
      <c r="I53" t="n">
        <v>3.8</v>
      </c>
      <c r="J53" t="n">
        <v>0</v>
      </c>
      <c r="K53" t="n">
        <v>0</v>
      </c>
      <c r="L53" t="n">
        <v>0</v>
      </c>
      <c r="M53" t="n">
        <v>0</v>
      </c>
      <c r="N53" t="n">
        <v>0</v>
      </c>
      <c r="O53" t="n">
        <v>0</v>
      </c>
      <c r="P53" t="n">
        <v>0</v>
      </c>
      <c r="Q53" t="n">
        <v>0</v>
      </c>
      <c r="R53" t="n">
        <v>0</v>
      </c>
      <c r="S53" t="n">
        <v>0</v>
      </c>
      <c r="T53" t="n">
        <v>0</v>
      </c>
      <c r="U53" t="n">
        <v>0</v>
      </c>
      <c r="V53" s="2" t="inlineStr"/>
    </row>
    <row r="54" ht="15" customHeight="1">
      <c r="A54" t="inlineStr">
        <is>
          <t>A 6124-2026</t>
        </is>
      </c>
      <c r="B54" t="inlineStr">
        <is>
          <t>avverkningsanmälan</t>
        </is>
      </c>
      <c r="C54" t="inlineStr">
        <is>
          <t>Föryngringsavverkning</t>
        </is>
      </c>
      <c r="D54" s="1" t="n">
        <v>46053</v>
      </c>
      <c r="E54" s="1" t="n">
        <v>46225</v>
      </c>
      <c r="F54" t="inlineStr">
        <is>
          <t>SKÅNE LÄN</t>
        </is>
      </c>
      <c r="G54" t="inlineStr">
        <is>
          <t>TOMELILLA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16621-2026</t>
        </is>
      </c>
      <c r="B55" t="inlineStr">
        <is>
          <t>avverkningsanmälan</t>
        </is>
      </c>
      <c r="C55" t="inlineStr">
        <is>
          <t>Föryngringsavverkning</t>
        </is>
      </c>
      <c r="D55" s="1" t="n">
        <v>46112</v>
      </c>
      <c r="E55" s="1" t="n">
        <v>46225</v>
      </c>
      <c r="F55" t="inlineStr">
        <is>
          <t>SKÅNE LÄN</t>
        </is>
      </c>
      <c r="G55" t="inlineStr">
        <is>
          <t>TOMELILLA</t>
        </is>
      </c>
      <c r="H55" t="inlineStr">
        <is>
          <t>Kommuner</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16568-2024</t>
        </is>
      </c>
      <c r="B56" t="inlineStr">
        <is>
          <t>avverkningsanmälan</t>
        </is>
      </c>
      <c r="C56" t="inlineStr">
        <is>
          <t>Föryngringsavverkning</t>
        </is>
      </c>
      <c r="D56" s="1" t="n">
        <v>45408</v>
      </c>
      <c r="E56" s="1" t="n">
        <v>46225</v>
      </c>
      <c r="F56" t="inlineStr">
        <is>
          <t>SKÅNE LÄN</t>
        </is>
      </c>
      <c r="G56" t="inlineStr">
        <is>
          <t>TOMELILLA</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12310-2023</t>
        </is>
      </c>
      <c r="B57" t="inlineStr">
        <is>
          <t>avverkningsanmälan</t>
        </is>
      </c>
      <c r="C57" t="inlineStr">
        <is>
          <t>Föryngringsavverkning</t>
        </is>
      </c>
      <c r="D57" s="1" t="n">
        <v>44999</v>
      </c>
      <c r="E57" s="1" t="n">
        <v>46225</v>
      </c>
      <c r="F57" t="inlineStr">
        <is>
          <t>SKÅNE LÄN</t>
        </is>
      </c>
      <c r="G57" t="inlineStr">
        <is>
          <t>TOMELILLA</t>
        </is>
      </c>
      <c r="H57" t="inlineStr">
        <is>
          <t>Sveaskog</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60817-2023</t>
        </is>
      </c>
      <c r="B58" t="inlineStr">
        <is>
          <t>avverkningsanmälan</t>
        </is>
      </c>
      <c r="C58" t="inlineStr">
        <is>
          <t>Föryngringsavverkning</t>
        </is>
      </c>
      <c r="D58" s="1" t="n">
        <v>45260</v>
      </c>
      <c r="E58" s="1" t="n">
        <v>46225</v>
      </c>
      <c r="F58" t="inlineStr">
        <is>
          <t>SKÅNE LÄN</t>
        </is>
      </c>
      <c r="G58" t="inlineStr">
        <is>
          <t>TOMELILLA</t>
        </is>
      </c>
      <c r="I58" t="n">
        <v>4.3</v>
      </c>
      <c r="J58" t="n">
        <v>0</v>
      </c>
      <c r="K58" t="n">
        <v>0</v>
      </c>
      <c r="L58" t="n">
        <v>0</v>
      </c>
      <c r="M58" t="n">
        <v>0</v>
      </c>
      <c r="N58" t="n">
        <v>0</v>
      </c>
      <c r="O58" t="n">
        <v>0</v>
      </c>
      <c r="P58" t="n">
        <v>0</v>
      </c>
      <c r="Q58" t="n">
        <v>0</v>
      </c>
      <c r="R58" t="n">
        <v>0</v>
      </c>
      <c r="S58" t="n">
        <v>0</v>
      </c>
      <c r="T58" t="n">
        <v>0</v>
      </c>
      <c r="U58" t="n">
        <v>0</v>
      </c>
      <c r="V58" s="2" t="inlineStr"/>
    </row>
    <row r="59" ht="15" customHeight="1">
      <c r="A59" t="inlineStr">
        <is>
          <t>A 7955-2024</t>
        </is>
      </c>
      <c r="B59" t="inlineStr">
        <is>
          <t>avverkningsanmälan</t>
        </is>
      </c>
      <c r="C59" t="inlineStr">
        <is>
          <t>Föryngringsavverkning</t>
        </is>
      </c>
      <c r="D59" s="1" t="n">
        <v>45350</v>
      </c>
      <c r="E59" s="1" t="n">
        <v>46225</v>
      </c>
      <c r="F59" t="inlineStr">
        <is>
          <t>SKÅNE LÄN</t>
        </is>
      </c>
      <c r="G59" t="inlineStr">
        <is>
          <t>TOMELILLA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61841-2025</t>
        </is>
      </c>
      <c r="B60" t="inlineStr">
        <is>
          <t>avverkningsanmälan</t>
        </is>
      </c>
      <c r="C60" t="inlineStr">
        <is>
          <t>Föryngringsavverkning</t>
        </is>
      </c>
      <c r="D60" s="1" t="n">
        <v>46003</v>
      </c>
      <c r="E60" s="1" t="n">
        <v>46225</v>
      </c>
      <c r="F60" t="inlineStr">
        <is>
          <t>SKÅNE LÄN</t>
        </is>
      </c>
      <c r="G60" t="inlineStr">
        <is>
          <t>TOMELILLA</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42794-2024</t>
        </is>
      </c>
      <c r="B61" t="inlineStr">
        <is>
          <t>avverkningsanmälan</t>
        </is>
      </c>
      <c r="C61" t="inlineStr">
        <is>
          <t>Föryngringsavverkning</t>
        </is>
      </c>
      <c r="D61" s="1" t="n">
        <v>45566</v>
      </c>
      <c r="E61" s="1" t="n">
        <v>46225</v>
      </c>
      <c r="F61" t="inlineStr">
        <is>
          <t>SKÅNE LÄN</t>
        </is>
      </c>
      <c r="G61" t="inlineStr">
        <is>
          <t>TOMELILLA</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49913-2025</t>
        </is>
      </c>
      <c r="B62" t="inlineStr">
        <is>
          <t>avverkningsanmälan</t>
        </is>
      </c>
      <c r="C62" t="inlineStr">
        <is>
          <t>Avverkning för annat ändamål</t>
        </is>
      </c>
      <c r="D62" s="1" t="n">
        <v>45940</v>
      </c>
      <c r="E62" s="1" t="n">
        <v>46225</v>
      </c>
      <c r="F62" t="inlineStr">
        <is>
          <t>SKÅNE LÄN</t>
        </is>
      </c>
      <c r="G62" t="inlineStr">
        <is>
          <t>TOMELILLA</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4482-2026</t>
        </is>
      </c>
      <c r="B63" t="inlineStr">
        <is>
          <t>avverkningsanmälan</t>
        </is>
      </c>
      <c r="C63" t="inlineStr">
        <is>
          <t>Föryngringsavverkning</t>
        </is>
      </c>
      <c r="D63" s="1" t="n">
        <v>46045</v>
      </c>
      <c r="E63" s="1" t="n">
        <v>46225</v>
      </c>
      <c r="F63" t="inlineStr">
        <is>
          <t>SKÅNE LÄN</t>
        </is>
      </c>
      <c r="G63" t="inlineStr">
        <is>
          <t>TOMELILLA</t>
        </is>
      </c>
      <c r="H63" t="inlineStr">
        <is>
          <t>Övriga Aktiebolag</t>
        </is>
      </c>
      <c r="I63" t="n">
        <v>6.5</v>
      </c>
      <c r="J63" t="n">
        <v>0</v>
      </c>
      <c r="K63" t="n">
        <v>0</v>
      </c>
      <c r="L63" t="n">
        <v>0</v>
      </c>
      <c r="M63" t="n">
        <v>0</v>
      </c>
      <c r="N63" t="n">
        <v>0</v>
      </c>
      <c r="O63" t="n">
        <v>0</v>
      </c>
      <c r="P63" t="n">
        <v>0</v>
      </c>
      <c r="Q63" t="n">
        <v>0</v>
      </c>
      <c r="R63" t="n">
        <v>0</v>
      </c>
      <c r="S63" t="n">
        <v>0</v>
      </c>
      <c r="T63" t="n">
        <v>0</v>
      </c>
      <c r="U63" t="n">
        <v>0</v>
      </c>
      <c r="V63" s="2" t="inlineStr"/>
    </row>
    <row r="64" ht="15" customHeight="1">
      <c r="A64" t="inlineStr">
        <is>
          <t>A 6852-2026</t>
        </is>
      </c>
      <c r="B64" t="inlineStr">
        <is>
          <t>avverkningsanmälan</t>
        </is>
      </c>
      <c r="C64" t="inlineStr">
        <is>
          <t>Föryngringsavverkning</t>
        </is>
      </c>
      <c r="D64" s="1" t="n">
        <v>46057</v>
      </c>
      <c r="E64" s="1" t="n">
        <v>46225</v>
      </c>
      <c r="F64" t="inlineStr">
        <is>
          <t>SKÅNE LÄN</t>
        </is>
      </c>
      <c r="G64" t="inlineStr">
        <is>
          <t>TOMELILLA</t>
        </is>
      </c>
      <c r="H64" t="inlineStr">
        <is>
          <t>Övriga Aktiebolag</t>
        </is>
      </c>
      <c r="I64" t="n">
        <v>4.8</v>
      </c>
      <c r="J64" t="n">
        <v>0</v>
      </c>
      <c r="K64" t="n">
        <v>0</v>
      </c>
      <c r="L64" t="n">
        <v>0</v>
      </c>
      <c r="M64" t="n">
        <v>0</v>
      </c>
      <c r="N64" t="n">
        <v>0</v>
      </c>
      <c r="O64" t="n">
        <v>0</v>
      </c>
      <c r="P64" t="n">
        <v>0</v>
      </c>
      <c r="Q64" t="n">
        <v>0</v>
      </c>
      <c r="R64" t="n">
        <v>0</v>
      </c>
      <c r="S64" t="n">
        <v>0</v>
      </c>
      <c r="T64" t="n">
        <v>0</v>
      </c>
      <c r="U64" t="n">
        <v>0</v>
      </c>
      <c r="V64" s="2" t="inlineStr"/>
    </row>
    <row r="65" ht="15" customHeight="1">
      <c r="A65" t="inlineStr">
        <is>
          <t>A 2190-2022</t>
        </is>
      </c>
      <c r="B65" t="inlineStr">
        <is>
          <t>avverkningsanmälan</t>
        </is>
      </c>
      <c r="C65" t="inlineStr">
        <is>
          <t>Föryngringsavverkning</t>
        </is>
      </c>
      <c r="D65" s="1" t="n">
        <v>44578</v>
      </c>
      <c r="E65" s="1" t="n">
        <v>46225</v>
      </c>
      <c r="F65" t="inlineStr">
        <is>
          <t>SKÅNE LÄN</t>
        </is>
      </c>
      <c r="G65" t="inlineStr">
        <is>
          <t>TOMELILLA</t>
        </is>
      </c>
      <c r="H65" t="inlineStr">
        <is>
          <t>Sveaskog</t>
        </is>
      </c>
      <c r="I65" t="n">
        <v>4.9</v>
      </c>
      <c r="J65" t="n">
        <v>0</v>
      </c>
      <c r="K65" t="n">
        <v>0</v>
      </c>
      <c r="L65" t="n">
        <v>0</v>
      </c>
      <c r="M65" t="n">
        <v>0</v>
      </c>
      <c r="N65" t="n">
        <v>0</v>
      </c>
      <c r="O65" t="n">
        <v>0</v>
      </c>
      <c r="P65" t="n">
        <v>0</v>
      </c>
      <c r="Q65" t="n">
        <v>0</v>
      </c>
      <c r="R65" t="n">
        <v>0</v>
      </c>
      <c r="S65" t="n">
        <v>0</v>
      </c>
      <c r="T65" t="n">
        <v>0</v>
      </c>
      <c r="U65" t="n">
        <v>0</v>
      </c>
      <c r="V65" s="2" t="inlineStr"/>
    </row>
    <row r="66" ht="15" customHeight="1">
      <c r="A66" t="inlineStr">
        <is>
          <t>A 10272-2023</t>
        </is>
      </c>
      <c r="B66" t="inlineStr">
        <is>
          <t>avverkningsanmälan</t>
        </is>
      </c>
      <c r="C66" t="inlineStr">
        <is>
          <t>Föryngringsavverkning</t>
        </is>
      </c>
      <c r="D66" s="1" t="n">
        <v>44986</v>
      </c>
      <c r="E66" s="1" t="n">
        <v>46225</v>
      </c>
      <c r="F66" t="inlineStr">
        <is>
          <t>SKÅNE LÄN</t>
        </is>
      </c>
      <c r="G66" t="inlineStr">
        <is>
          <t>TOMELILLA</t>
        </is>
      </c>
      <c r="H66" t="inlineStr">
        <is>
          <t>Övriga Aktiebolag</t>
        </is>
      </c>
      <c r="I66" t="n">
        <v>7.7</v>
      </c>
      <c r="J66" t="n">
        <v>0</v>
      </c>
      <c r="K66" t="n">
        <v>0</v>
      </c>
      <c r="L66" t="n">
        <v>0</v>
      </c>
      <c r="M66" t="n">
        <v>0</v>
      </c>
      <c r="N66" t="n">
        <v>0</v>
      </c>
      <c r="O66" t="n">
        <v>0</v>
      </c>
      <c r="P66" t="n">
        <v>0</v>
      </c>
      <c r="Q66" t="n">
        <v>0</v>
      </c>
      <c r="R66" t="n">
        <v>0</v>
      </c>
      <c r="S66" t="n">
        <v>0</v>
      </c>
      <c r="T66" t="n">
        <v>0</v>
      </c>
      <c r="U66" t="n">
        <v>0</v>
      </c>
      <c r="V66" s="2" t="inlineStr"/>
    </row>
    <row r="67" ht="15" customHeight="1">
      <c r="A67" t="inlineStr">
        <is>
          <t>A 55676-2022</t>
        </is>
      </c>
      <c r="B67" t="inlineStr">
        <is>
          <t>avverkningsanmälan</t>
        </is>
      </c>
      <c r="C67" t="inlineStr">
        <is>
          <t>Föryngringsavverkning</t>
        </is>
      </c>
      <c r="D67" s="1" t="n">
        <v>44888</v>
      </c>
      <c r="E67" s="1" t="n">
        <v>46225</v>
      </c>
      <c r="F67" t="inlineStr">
        <is>
          <t>SKÅNE LÄN</t>
        </is>
      </c>
      <c r="G67" t="inlineStr">
        <is>
          <t>TOMELILLA</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30806-2023</t>
        </is>
      </c>
      <c r="B68" t="inlineStr">
        <is>
          <t>avverkningsanmälan</t>
        </is>
      </c>
      <c r="C68" t="inlineStr">
        <is>
          <t>Föryngringsavverkning</t>
        </is>
      </c>
      <c r="D68" s="1" t="n">
        <v>45112</v>
      </c>
      <c r="E68" s="1" t="n">
        <v>46225</v>
      </c>
      <c r="F68" t="inlineStr">
        <is>
          <t>SKÅNE LÄN</t>
        </is>
      </c>
      <c r="G68" t="inlineStr">
        <is>
          <t>TOMELILLA</t>
        </is>
      </c>
      <c r="H68" t="inlineStr">
        <is>
          <t>Övriga Aktiebolag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21291-2026</t>
        </is>
      </c>
      <c r="B69" t="inlineStr">
        <is>
          <t>avverkningsanmälan</t>
        </is>
      </c>
      <c r="C69" t="inlineStr">
        <is>
          <t>Föryngringsavverkning</t>
        </is>
      </c>
      <c r="D69" s="1" t="n">
        <v>46147</v>
      </c>
      <c r="E69" s="1" t="n">
        <v>46225</v>
      </c>
      <c r="F69" t="inlineStr">
        <is>
          <t>SKÅNE LÄN</t>
        </is>
      </c>
      <c r="G69" t="inlineStr">
        <is>
          <t>TOMELILLA</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21293-2026</t>
        </is>
      </c>
      <c r="B70" t="inlineStr">
        <is>
          <t>avverkningsanmälan</t>
        </is>
      </c>
      <c r="C70" t="inlineStr">
        <is>
          <t>Föryngringsavverkning</t>
        </is>
      </c>
      <c r="D70" s="1" t="n">
        <v>46147</v>
      </c>
      <c r="E70" s="1" t="n">
        <v>46225</v>
      </c>
      <c r="F70" t="inlineStr">
        <is>
          <t>SKÅNE LÄN</t>
        </is>
      </c>
      <c r="G70" t="inlineStr">
        <is>
          <t>TOMELILLA</t>
        </is>
      </c>
      <c r="I70" t="n">
        <v>2.6</v>
      </c>
      <c r="J70" t="n">
        <v>0</v>
      </c>
      <c r="K70" t="n">
        <v>0</v>
      </c>
      <c r="L70" t="n">
        <v>0</v>
      </c>
      <c r="M70" t="n">
        <v>0</v>
      </c>
      <c r="N70" t="n">
        <v>0</v>
      </c>
      <c r="O70" t="n">
        <v>0</v>
      </c>
      <c r="P70" t="n">
        <v>0</v>
      </c>
      <c r="Q70" t="n">
        <v>0</v>
      </c>
      <c r="R70" t="n">
        <v>0</v>
      </c>
      <c r="S70" t="n">
        <v>0</v>
      </c>
      <c r="T70" t="n">
        <v>0</v>
      </c>
      <c r="U70" t="n">
        <v>0</v>
      </c>
      <c r="V70" s="2" t="inlineStr"/>
    </row>
    <row r="71" ht="15" customHeight="1">
      <c r="A71" t="inlineStr">
        <is>
          <t>A 6316-2024</t>
        </is>
      </c>
      <c r="B71" t="inlineStr">
        <is>
          <t>avverkningsanmälan</t>
        </is>
      </c>
      <c r="C71" t="inlineStr">
        <is>
          <t>Föryngringsavverkning</t>
        </is>
      </c>
      <c r="D71" s="1" t="n">
        <v>45338</v>
      </c>
      <c r="E71" s="1" t="n">
        <v>46225</v>
      </c>
      <c r="F71" t="inlineStr">
        <is>
          <t>SKÅNE LÄN</t>
        </is>
      </c>
      <c r="G71" t="inlineStr">
        <is>
          <t>TOMELILLA</t>
        </is>
      </c>
      <c r="H71" t="inlineStr">
        <is>
          <t>Övriga Aktiebolag</t>
        </is>
      </c>
      <c r="I71" t="n">
        <v>28.6</v>
      </c>
      <c r="J71" t="n">
        <v>0</v>
      </c>
      <c r="K71" t="n">
        <v>0</v>
      </c>
      <c r="L71" t="n">
        <v>0</v>
      </c>
      <c r="M71" t="n">
        <v>0</v>
      </c>
      <c r="N71" t="n">
        <v>0</v>
      </c>
      <c r="O71" t="n">
        <v>0</v>
      </c>
      <c r="P71" t="n">
        <v>0</v>
      </c>
      <c r="Q71" t="n">
        <v>0</v>
      </c>
      <c r="R71" t="n">
        <v>0</v>
      </c>
      <c r="S71" t="n">
        <v>0</v>
      </c>
      <c r="T71" t="n">
        <v>0</v>
      </c>
      <c r="U71" t="n">
        <v>0</v>
      </c>
      <c r="V71" s="2" t="inlineStr"/>
    </row>
    <row r="72" ht="15" customHeight="1">
      <c r="A72" t="inlineStr">
        <is>
          <t>A 8455-2024</t>
        </is>
      </c>
      <c r="B72" t="inlineStr">
        <is>
          <t>avverkningsanmälan</t>
        </is>
      </c>
      <c r="C72" t="inlineStr">
        <is>
          <t>Föryngringsavverkning</t>
        </is>
      </c>
      <c r="D72" s="1" t="n">
        <v>45354</v>
      </c>
      <c r="E72" s="1" t="n">
        <v>46225</v>
      </c>
      <c r="F72" t="inlineStr">
        <is>
          <t>SKÅNE LÄN</t>
        </is>
      </c>
      <c r="G72" t="inlineStr">
        <is>
          <t>TOMELILLA</t>
        </is>
      </c>
      <c r="H72" t="inlineStr">
        <is>
          <t>Övriga Aktiebolag</t>
        </is>
      </c>
      <c r="I72" t="n">
        <v>5.1</v>
      </c>
      <c r="J72" t="n">
        <v>0</v>
      </c>
      <c r="K72" t="n">
        <v>0</v>
      </c>
      <c r="L72" t="n">
        <v>0</v>
      </c>
      <c r="M72" t="n">
        <v>0</v>
      </c>
      <c r="N72" t="n">
        <v>0</v>
      </c>
      <c r="O72" t="n">
        <v>0</v>
      </c>
      <c r="P72" t="n">
        <v>0</v>
      </c>
      <c r="Q72" t="n">
        <v>0</v>
      </c>
      <c r="R72" t="n">
        <v>0</v>
      </c>
      <c r="S72" t="n">
        <v>0</v>
      </c>
      <c r="T72" t="n">
        <v>0</v>
      </c>
      <c r="U72" t="n">
        <v>0</v>
      </c>
      <c r="V72" s="2" t="inlineStr"/>
    </row>
    <row r="73" ht="15" customHeight="1">
      <c r="A73" t="inlineStr">
        <is>
          <t>A 13159-2024</t>
        </is>
      </c>
      <c r="B73" t="inlineStr">
        <is>
          <t>avverkningsanmälan</t>
        </is>
      </c>
      <c r="C73" t="inlineStr">
        <is>
          <t>Föryngringsavverkning</t>
        </is>
      </c>
      <c r="D73" s="1" t="n">
        <v>45386</v>
      </c>
      <c r="E73" s="1" t="n">
        <v>46225</v>
      </c>
      <c r="F73" t="inlineStr">
        <is>
          <t>SKÅNE LÄN</t>
        </is>
      </c>
      <c r="G73" t="inlineStr">
        <is>
          <t>TOMELILLA</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15288-2026</t>
        </is>
      </c>
      <c r="B74" t="inlineStr">
        <is>
          <t>avverkningsanmälan</t>
        </is>
      </c>
      <c r="C74" t="inlineStr">
        <is>
          <t>Föryngringsavverkning</t>
        </is>
      </c>
      <c r="D74" s="1" t="n">
        <v>46105</v>
      </c>
      <c r="E74" s="1" t="n">
        <v>46225</v>
      </c>
      <c r="F74" t="inlineStr">
        <is>
          <t>SKÅNE LÄN</t>
        </is>
      </c>
      <c r="G74" t="inlineStr">
        <is>
          <t>TOMELILLA</t>
        </is>
      </c>
      <c r="I74" t="n">
        <v>4.8</v>
      </c>
      <c r="J74" t="n">
        <v>0</v>
      </c>
      <c r="K74" t="n">
        <v>0</v>
      </c>
      <c r="L74" t="n">
        <v>0</v>
      </c>
      <c r="M74" t="n">
        <v>0</v>
      </c>
      <c r="N74" t="n">
        <v>0</v>
      </c>
      <c r="O74" t="n">
        <v>0</v>
      </c>
      <c r="P74" t="n">
        <v>0</v>
      </c>
      <c r="Q74" t="n">
        <v>0</v>
      </c>
      <c r="R74" t="n">
        <v>0</v>
      </c>
      <c r="S74" t="n">
        <v>0</v>
      </c>
      <c r="T74" t="n">
        <v>0</v>
      </c>
      <c r="U74" t="n">
        <v>0</v>
      </c>
      <c r="V74" s="2" t="inlineStr"/>
    </row>
    <row r="75" ht="15" customHeight="1">
      <c r="A75" t="inlineStr">
        <is>
          <t>A 39796-2025</t>
        </is>
      </c>
      <c r="B75" t="inlineStr">
        <is>
          <t>avverkningsanmälan</t>
        </is>
      </c>
      <c r="C75" t="inlineStr">
        <is>
          <t>Föryngringsavverkning</t>
        </is>
      </c>
      <c r="D75" s="1" t="n">
        <v>45891</v>
      </c>
      <c r="E75" s="1" t="n">
        <v>46225</v>
      </c>
      <c r="F75" t="inlineStr">
        <is>
          <t>SKÅNE LÄN</t>
        </is>
      </c>
      <c r="G75" t="inlineStr">
        <is>
          <t>TOMELILLA</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7745-2025</t>
        </is>
      </c>
      <c r="B76" t="inlineStr">
        <is>
          <t>avverkningsanmälan</t>
        </is>
      </c>
      <c r="C76" t="inlineStr">
        <is>
          <t>Avverkning för annat ändamål</t>
        </is>
      </c>
      <c r="D76" s="1" t="n">
        <v>45706</v>
      </c>
      <c r="E76" s="1" t="n">
        <v>46225</v>
      </c>
      <c r="F76" t="inlineStr">
        <is>
          <t>SKÅNE LÄN</t>
        </is>
      </c>
      <c r="G76" t="inlineStr">
        <is>
          <t>TOMELILLA</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15921-2025</t>
        </is>
      </c>
      <c r="B77" t="inlineStr">
        <is>
          <t>avverkningsanmälan</t>
        </is>
      </c>
      <c r="C77" t="inlineStr">
        <is>
          <t>Föryngringsavverkning</t>
        </is>
      </c>
      <c r="D77" s="1" t="n">
        <v>45749</v>
      </c>
      <c r="E77" s="1" t="n">
        <v>46225</v>
      </c>
      <c r="F77" t="inlineStr">
        <is>
          <t>SKÅNE LÄN</t>
        </is>
      </c>
      <c r="G77" t="inlineStr">
        <is>
          <t>TOMELILLA</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15305-2025</t>
        </is>
      </c>
      <c r="B78" t="inlineStr">
        <is>
          <t>avverkningsanmälan</t>
        </is>
      </c>
      <c r="C78" t="inlineStr">
        <is>
          <t>Avverkning för annat ändamål</t>
        </is>
      </c>
      <c r="D78" s="1" t="n">
        <v>45746</v>
      </c>
      <c r="E78" s="1" t="n">
        <v>46225</v>
      </c>
      <c r="F78" t="inlineStr">
        <is>
          <t>SKÅNE LÄN</t>
        </is>
      </c>
      <c r="G78" t="inlineStr">
        <is>
          <t>TOMELILLA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23621-2026</t>
        </is>
      </c>
      <c r="B79" t="inlineStr">
        <is>
          <t>avverkningsanmälan</t>
        </is>
      </c>
      <c r="C79" t="inlineStr">
        <is>
          <t>Föryngringsavverkning</t>
        </is>
      </c>
      <c r="D79" s="1" t="n">
        <v>46162</v>
      </c>
      <c r="E79" s="1" t="n">
        <v>46225</v>
      </c>
      <c r="F79" t="inlineStr">
        <is>
          <t>SKÅNE LÄN</t>
        </is>
      </c>
      <c r="G79" t="inlineStr">
        <is>
          <t>TOMELILLA</t>
        </is>
      </c>
      <c r="I79" t="n">
        <v>3.8</v>
      </c>
      <c r="J79" t="n">
        <v>0</v>
      </c>
      <c r="K79" t="n">
        <v>0</v>
      </c>
      <c r="L79" t="n">
        <v>0</v>
      </c>
      <c r="M79" t="n">
        <v>0</v>
      </c>
      <c r="N79" t="n">
        <v>0</v>
      </c>
      <c r="O79" t="n">
        <v>0</v>
      </c>
      <c r="P79" t="n">
        <v>0</v>
      </c>
      <c r="Q79" t="n">
        <v>0</v>
      </c>
      <c r="R79" t="n">
        <v>0</v>
      </c>
      <c r="S79" t="n">
        <v>0</v>
      </c>
      <c r="T79" t="n">
        <v>0</v>
      </c>
      <c r="U79" t="n">
        <v>0</v>
      </c>
      <c r="V79" s="2" t="inlineStr"/>
    </row>
    <row r="80" ht="15" customHeight="1">
      <c r="A80" t="inlineStr">
        <is>
          <t>A 10908-2026</t>
        </is>
      </c>
      <c r="B80" t="inlineStr">
        <is>
          <t>avverkningsanmälan</t>
        </is>
      </c>
      <c r="C80" t="inlineStr">
        <is>
          <t>Föryngringsavverkning</t>
        </is>
      </c>
      <c r="D80" s="1" t="n">
        <v>46079</v>
      </c>
      <c r="E80" s="1" t="n">
        <v>46225</v>
      </c>
      <c r="F80" t="inlineStr">
        <is>
          <t>SKÅNE LÄN</t>
        </is>
      </c>
      <c r="G80" t="inlineStr">
        <is>
          <t>TOMELILLA</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28966-2022</t>
        </is>
      </c>
      <c r="B81" t="inlineStr">
        <is>
          <t>avverkningsanmälan</t>
        </is>
      </c>
      <c r="C81" t="inlineStr">
        <is>
          <t>Avverkning för annat ändamål</t>
        </is>
      </c>
      <c r="D81" s="1" t="n">
        <v>44749</v>
      </c>
      <c r="E81" s="1" t="n">
        <v>46225</v>
      </c>
      <c r="F81" t="inlineStr">
        <is>
          <t>SKÅNE LÄN</t>
        </is>
      </c>
      <c r="G81" t="inlineStr">
        <is>
          <t>TOMELILLA</t>
        </is>
      </c>
      <c r="I81" t="n">
        <v>3.2</v>
      </c>
      <c r="J81" t="n">
        <v>0</v>
      </c>
      <c r="K81" t="n">
        <v>0</v>
      </c>
      <c r="L81" t="n">
        <v>0</v>
      </c>
      <c r="M81" t="n">
        <v>0</v>
      </c>
      <c r="N81" t="n">
        <v>0</v>
      </c>
      <c r="O81" t="n">
        <v>0</v>
      </c>
      <c r="P81" t="n">
        <v>0</v>
      </c>
      <c r="Q81" t="n">
        <v>0</v>
      </c>
      <c r="R81" t="n">
        <v>0</v>
      </c>
      <c r="S81" t="n">
        <v>0</v>
      </c>
      <c r="T81" t="n">
        <v>0</v>
      </c>
      <c r="U81" t="n">
        <v>0</v>
      </c>
      <c r="V81" s="2" t="inlineStr"/>
    </row>
    <row r="82" ht="15" customHeight="1">
      <c r="A82" t="inlineStr">
        <is>
          <t>A 578-2024</t>
        </is>
      </c>
      <c r="B82" t="inlineStr">
        <is>
          <t>avverkningsanmälan</t>
        </is>
      </c>
      <c r="C82" t="inlineStr">
        <is>
          <t>Föryngringsavverkning</t>
        </is>
      </c>
      <c r="D82" s="1" t="n">
        <v>45299</v>
      </c>
      <c r="E82" s="1" t="n">
        <v>46225</v>
      </c>
      <c r="F82" t="inlineStr">
        <is>
          <t>SKÅNE LÄN</t>
        </is>
      </c>
      <c r="G82" t="inlineStr">
        <is>
          <t>TOMELILLA</t>
        </is>
      </c>
      <c r="H82" t="inlineStr">
        <is>
          <t>Övriga Aktiebolag</t>
        </is>
      </c>
      <c r="I82" t="n">
        <v>67.40000000000001</v>
      </c>
      <c r="J82" t="n">
        <v>0</v>
      </c>
      <c r="K82" t="n">
        <v>0</v>
      </c>
      <c r="L82" t="n">
        <v>0</v>
      </c>
      <c r="M82" t="n">
        <v>0</v>
      </c>
      <c r="N82" t="n">
        <v>0</v>
      </c>
      <c r="O82" t="n">
        <v>0</v>
      </c>
      <c r="P82" t="n">
        <v>0</v>
      </c>
      <c r="Q82" t="n">
        <v>0</v>
      </c>
      <c r="R82" t="n">
        <v>0</v>
      </c>
      <c r="S82" t="n">
        <v>0</v>
      </c>
      <c r="T82" t="n">
        <v>0</v>
      </c>
      <c r="U82" t="n">
        <v>0</v>
      </c>
      <c r="V82" s="2" t="inlineStr"/>
    </row>
    <row r="83" ht="15" customHeight="1">
      <c r="A83" t="inlineStr">
        <is>
          <t>A 31134-2026</t>
        </is>
      </c>
      <c r="B83" t="inlineStr">
        <is>
          <t>avverkningsanmälan</t>
        </is>
      </c>
      <c r="C83" t="inlineStr">
        <is>
          <t>Föryngringsavverkning</t>
        </is>
      </c>
      <c r="D83" s="1" t="n">
        <v>46216</v>
      </c>
      <c r="E83" s="1" t="n">
        <v>46225</v>
      </c>
      <c r="F83" t="inlineStr">
        <is>
          <t>SKÅNE LÄN</t>
        </is>
      </c>
      <c r="G83" t="inlineStr">
        <is>
          <t>TOMELILLA</t>
        </is>
      </c>
      <c r="H83" t="inlineStr">
        <is>
          <t>Övriga Aktiebolag</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16611-2026</t>
        </is>
      </c>
      <c r="B84" t="inlineStr">
        <is>
          <t>avverkningsanmälan</t>
        </is>
      </c>
      <c r="C84" t="inlineStr">
        <is>
          <t>Föryngringsavverkning</t>
        </is>
      </c>
      <c r="D84" s="1" t="n">
        <v>46112</v>
      </c>
      <c r="E84" s="1" t="n">
        <v>46225</v>
      </c>
      <c r="F84" t="inlineStr">
        <is>
          <t>SKÅNE LÄN</t>
        </is>
      </c>
      <c r="G84" t="inlineStr">
        <is>
          <t>TOMELILLA</t>
        </is>
      </c>
      <c r="H84" t="inlineStr">
        <is>
          <t>Kommuner</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12988-2024</t>
        </is>
      </c>
      <c r="B85" t="inlineStr">
        <is>
          <t>avverkningsanmälan</t>
        </is>
      </c>
      <c r="C85" t="inlineStr">
        <is>
          <t>Föryngringsavverkning</t>
        </is>
      </c>
      <c r="D85" s="1" t="n">
        <v>45385</v>
      </c>
      <c r="E85" s="1" t="n">
        <v>46225</v>
      </c>
      <c r="F85" t="inlineStr">
        <is>
          <t>SKÅNE LÄN</t>
        </is>
      </c>
      <c r="G85" t="inlineStr">
        <is>
          <t>TOMELILLA</t>
        </is>
      </c>
      <c r="H85" t="inlineStr">
        <is>
          <t>Övriga Aktiebolag</t>
        </is>
      </c>
      <c r="I85" t="n">
        <v>16.2</v>
      </c>
      <c r="J85" t="n">
        <v>0</v>
      </c>
      <c r="K85" t="n">
        <v>0</v>
      </c>
      <c r="L85" t="n">
        <v>0</v>
      </c>
      <c r="M85" t="n">
        <v>0</v>
      </c>
      <c r="N85" t="n">
        <v>0</v>
      </c>
      <c r="O85" t="n">
        <v>0</v>
      </c>
      <c r="P85" t="n">
        <v>0</v>
      </c>
      <c r="Q85" t="n">
        <v>0</v>
      </c>
      <c r="R85" t="n">
        <v>0</v>
      </c>
      <c r="S85" t="n">
        <v>0</v>
      </c>
      <c r="T85" t="n">
        <v>0</v>
      </c>
      <c r="U85" t="n">
        <v>0</v>
      </c>
      <c r="V85" s="2" t="inlineStr"/>
    </row>
    <row r="86" ht="15" customHeight="1">
      <c r="A86" t="inlineStr">
        <is>
          <t>A 24002-2026</t>
        </is>
      </c>
      <c r="B86" t="inlineStr">
        <is>
          <t>avverkningsanmälan</t>
        </is>
      </c>
      <c r="C86" t="inlineStr">
        <is>
          <t>Avverkning för annat ändamål</t>
        </is>
      </c>
      <c r="D86" s="1" t="n">
        <v>46167</v>
      </c>
      <c r="E86" s="1" t="n">
        <v>46225</v>
      </c>
      <c r="F86" t="inlineStr">
        <is>
          <t>SKÅNE LÄN</t>
        </is>
      </c>
      <c r="G86" t="inlineStr">
        <is>
          <t>TOMELILLA</t>
        </is>
      </c>
      <c r="I86" t="n">
        <v>6.4</v>
      </c>
      <c r="J86" t="n">
        <v>0</v>
      </c>
      <c r="K86" t="n">
        <v>0</v>
      </c>
      <c r="L86" t="n">
        <v>0</v>
      </c>
      <c r="M86" t="n">
        <v>0</v>
      </c>
      <c r="N86" t="n">
        <v>0</v>
      </c>
      <c r="O86" t="n">
        <v>0</v>
      </c>
      <c r="P86" t="n">
        <v>0</v>
      </c>
      <c r="Q86" t="n">
        <v>0</v>
      </c>
      <c r="R86" t="n">
        <v>0</v>
      </c>
      <c r="S86" t="n">
        <v>0</v>
      </c>
      <c r="T86" t="n">
        <v>0</v>
      </c>
      <c r="U86" t="n">
        <v>0</v>
      </c>
      <c r="V86" s="2" t="inlineStr"/>
    </row>
    <row r="87" ht="15" customHeight="1">
      <c r="A87" t="inlineStr">
        <is>
          <t>A 24987-2026</t>
        </is>
      </c>
      <c r="B87" t="inlineStr">
        <is>
          <t>avverkningsanmälan</t>
        </is>
      </c>
      <c r="C87" t="inlineStr">
        <is>
          <t>Föryngringsavverkning</t>
        </is>
      </c>
      <c r="D87" s="1" t="n">
        <v>46174</v>
      </c>
      <c r="E87" s="1" t="n">
        <v>46225</v>
      </c>
      <c r="F87" t="inlineStr">
        <is>
          <t>SKÅNE LÄN</t>
        </is>
      </c>
      <c r="G87" t="inlineStr">
        <is>
          <t>TOMELILLA</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15296-2026</t>
        </is>
      </c>
      <c r="B88" t="inlineStr">
        <is>
          <t>avverkningsanmälan</t>
        </is>
      </c>
      <c r="C88" t="inlineStr">
        <is>
          <t>Föryngringsavverkning</t>
        </is>
      </c>
      <c r="D88" s="1" t="n">
        <v>46105</v>
      </c>
      <c r="E88" s="1" t="n">
        <v>46225</v>
      </c>
      <c r="F88" t="inlineStr">
        <is>
          <t>SKÅNE LÄN</t>
        </is>
      </c>
      <c r="G88" t="inlineStr">
        <is>
          <t>TOMELILLA</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4677-2023</t>
        </is>
      </c>
      <c r="B89" t="inlineStr">
        <is>
          <t>avverkningsanmälan</t>
        </is>
      </c>
      <c r="C89" t="inlineStr">
        <is>
          <t>Föryngringsavverkning</t>
        </is>
      </c>
      <c r="D89" s="1" t="n">
        <v>44952</v>
      </c>
      <c r="E89" s="1" t="n">
        <v>46225</v>
      </c>
      <c r="F89" t="inlineStr">
        <is>
          <t>SKÅNE LÄN</t>
        </is>
      </c>
      <c r="G89" t="inlineStr">
        <is>
          <t>TOMELILLA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25597-2026</t>
        </is>
      </c>
      <c r="B90" t="inlineStr">
        <is>
          <t>avverkningsanmälan</t>
        </is>
      </c>
      <c r="C90" t="inlineStr">
        <is>
          <t>Föryngringsavverkning</t>
        </is>
      </c>
      <c r="D90" s="1" t="n">
        <v>46177</v>
      </c>
      <c r="E90" s="1" t="n">
        <v>46225</v>
      </c>
      <c r="F90" t="inlineStr">
        <is>
          <t>SKÅNE LÄN</t>
        </is>
      </c>
      <c r="G90" t="inlineStr">
        <is>
          <t>TOMELILLA</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25605-2026</t>
        </is>
      </c>
      <c r="B91" t="inlineStr">
        <is>
          <t>avverkningsanmälan</t>
        </is>
      </c>
      <c r="C91" t="inlineStr">
        <is>
          <t>Föryngringsavverkning</t>
        </is>
      </c>
      <c r="D91" s="1" t="n">
        <v>46177</v>
      </c>
      <c r="E91" s="1" t="n">
        <v>46225</v>
      </c>
      <c r="F91" t="inlineStr">
        <is>
          <t>SKÅNE LÄN</t>
        </is>
      </c>
      <c r="G91" t="inlineStr">
        <is>
          <t>TOMELILLA</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4018-2024</t>
        </is>
      </c>
      <c r="B92" t="inlineStr">
        <is>
          <t>avverkningsanmälan</t>
        </is>
      </c>
      <c r="C92" t="inlineStr">
        <is>
          <t>Föryngringsavverkning</t>
        </is>
      </c>
      <c r="D92" s="1" t="n">
        <v>45323</v>
      </c>
      <c r="E92" s="1" t="n">
        <v>46225</v>
      </c>
      <c r="F92" t="inlineStr">
        <is>
          <t>SKÅNE LÄN</t>
        </is>
      </c>
      <c r="G92" t="inlineStr">
        <is>
          <t>TOMELILLA</t>
        </is>
      </c>
      <c r="H92" t="inlineStr">
        <is>
          <t>Övriga Aktiebolag</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15012-2024</t>
        </is>
      </c>
      <c r="B93" t="inlineStr">
        <is>
          <t>avverkningsanmälan</t>
        </is>
      </c>
      <c r="C93" t="inlineStr">
        <is>
          <t>Föryngringsavverkning</t>
        </is>
      </c>
      <c r="D93" s="1" t="n">
        <v>45399</v>
      </c>
      <c r="E93" s="1" t="n">
        <v>46225</v>
      </c>
      <c r="F93" t="inlineStr">
        <is>
          <t>SKÅNE LÄN</t>
        </is>
      </c>
      <c r="G93" t="inlineStr">
        <is>
          <t>TOMELILLA</t>
        </is>
      </c>
      <c r="I93" t="n">
        <v>6.9</v>
      </c>
      <c r="J93" t="n">
        <v>0</v>
      </c>
      <c r="K93" t="n">
        <v>0</v>
      </c>
      <c r="L93" t="n">
        <v>0</v>
      </c>
      <c r="M93" t="n">
        <v>0</v>
      </c>
      <c r="N93" t="n">
        <v>0</v>
      </c>
      <c r="O93" t="n">
        <v>0</v>
      </c>
      <c r="P93" t="n">
        <v>0</v>
      </c>
      <c r="Q93" t="n">
        <v>0</v>
      </c>
      <c r="R93" t="n">
        <v>0</v>
      </c>
      <c r="S93" t="n">
        <v>0</v>
      </c>
      <c r="T93" t="n">
        <v>0</v>
      </c>
      <c r="U93" t="n">
        <v>0</v>
      </c>
      <c r="V93" s="2" t="inlineStr"/>
    </row>
    <row r="94" ht="15" customHeight="1">
      <c r="A94" t="inlineStr">
        <is>
          <t>A 2555-2022</t>
        </is>
      </c>
      <c r="B94" t="inlineStr">
        <is>
          <t>avverkningsanmälan</t>
        </is>
      </c>
      <c r="C94" t="inlineStr">
        <is>
          <t>Föryngringsavverkning</t>
        </is>
      </c>
      <c r="D94" s="1" t="n">
        <v>44579</v>
      </c>
      <c r="E94" s="1" t="n">
        <v>46225</v>
      </c>
      <c r="F94" t="inlineStr">
        <is>
          <t>SKÅNE LÄN</t>
        </is>
      </c>
      <c r="G94" t="inlineStr">
        <is>
          <t>TOMELILLA</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4651-2024</t>
        </is>
      </c>
      <c r="B95" t="inlineStr">
        <is>
          <t>avverkningsanmälan</t>
        </is>
      </c>
      <c r="C95" t="inlineStr">
        <is>
          <t>Föryngringsavverkning</t>
        </is>
      </c>
      <c r="D95" s="1" t="n">
        <v>45328</v>
      </c>
      <c r="E95" s="1" t="n">
        <v>46225</v>
      </c>
      <c r="F95" t="inlineStr">
        <is>
          <t>SKÅNE LÄN</t>
        </is>
      </c>
      <c r="G95" t="inlineStr">
        <is>
          <t>TOMELILLA</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30040-2024</t>
        </is>
      </c>
      <c r="B96" t="inlineStr">
        <is>
          <t>avverkningsanmälan</t>
        </is>
      </c>
      <c r="C96" t="inlineStr">
        <is>
          <t>Avverkning för annat ändamål</t>
        </is>
      </c>
      <c r="D96" s="1" t="n">
        <v>45488</v>
      </c>
      <c r="E96" s="1" t="n">
        <v>46225</v>
      </c>
      <c r="F96" t="inlineStr">
        <is>
          <t>SKÅNE LÄN</t>
        </is>
      </c>
      <c r="G96" t="inlineStr">
        <is>
          <t>TOMELILLA</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6357-2024</t>
        </is>
      </c>
      <c r="B97" t="inlineStr">
        <is>
          <t>avverkningsanmälan</t>
        </is>
      </c>
      <c r="C97" t="inlineStr">
        <is>
          <t>Föryngringsavverkning</t>
        </is>
      </c>
      <c r="D97" s="1" t="n">
        <v>45338</v>
      </c>
      <c r="E97" s="1" t="n">
        <v>46225</v>
      </c>
      <c r="F97" t="inlineStr">
        <is>
          <t>SKÅNE LÄN</t>
        </is>
      </c>
      <c r="G97" t="inlineStr">
        <is>
          <t>TOMELILLA</t>
        </is>
      </c>
      <c r="H97" t="inlineStr">
        <is>
          <t>Kyrkan</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30673-2023</t>
        </is>
      </c>
      <c r="B98" t="inlineStr">
        <is>
          <t>avverkningsanmälan</t>
        </is>
      </c>
      <c r="C98" t="inlineStr">
        <is>
          <t>Föryngringsavverkning</t>
        </is>
      </c>
      <c r="D98" s="1" t="n">
        <v>45112</v>
      </c>
      <c r="E98" s="1" t="n">
        <v>46225</v>
      </c>
      <c r="F98" t="inlineStr">
        <is>
          <t>SKÅNE LÄN</t>
        </is>
      </c>
      <c r="G98" t="inlineStr">
        <is>
          <t>TOMELILLA</t>
        </is>
      </c>
      <c r="H98" t="inlineStr">
        <is>
          <t>Övriga Aktiebolag</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31993-2023</t>
        </is>
      </c>
      <c r="B99" t="inlineStr">
        <is>
          <t>avverkningsanmälan</t>
        </is>
      </c>
      <c r="C99" t="inlineStr">
        <is>
          <t>Föryngringsavverkning</t>
        </is>
      </c>
      <c r="D99" s="1" t="n">
        <v>45119</v>
      </c>
      <c r="E99" s="1" t="n">
        <v>46225</v>
      </c>
      <c r="F99" t="inlineStr">
        <is>
          <t>SKÅNE LÄN</t>
        </is>
      </c>
      <c r="G99" t="inlineStr">
        <is>
          <t>TOMELILLA</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11894-2024</t>
        </is>
      </c>
      <c r="B100" t="inlineStr">
        <is>
          <t>avverkningsanmälan</t>
        </is>
      </c>
      <c r="C100" t="inlineStr">
        <is>
          <t>Föryngringsavverkning</t>
        </is>
      </c>
      <c r="D100" s="1" t="n">
        <v>45376</v>
      </c>
      <c r="E100" s="1" t="n">
        <v>46225</v>
      </c>
      <c r="F100" t="inlineStr">
        <is>
          <t>SKÅNE LÄN</t>
        </is>
      </c>
      <c r="G100" t="inlineStr">
        <is>
          <t>TOMELILLA</t>
        </is>
      </c>
      <c r="H100" t="inlineStr">
        <is>
          <t>Övriga Aktiebolag</t>
        </is>
      </c>
      <c r="I100" t="n">
        <v>4.4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16483-2024</t>
        </is>
      </c>
      <c r="B101" t="inlineStr">
        <is>
          <t>avverkningsanmälan</t>
        </is>
      </c>
      <c r="C101" t="inlineStr">
        <is>
          <t>Föryngringsavverkning</t>
        </is>
      </c>
      <c r="D101" s="1" t="n">
        <v>45408</v>
      </c>
      <c r="E101" s="1" t="n">
        <v>46225</v>
      </c>
      <c r="F101" t="inlineStr">
        <is>
          <t>SKÅNE LÄN</t>
        </is>
      </c>
      <c r="G101" t="inlineStr">
        <is>
          <t>TOMELILLA</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38562-2023</t>
        </is>
      </c>
      <c r="B102" t="inlineStr">
        <is>
          <t>avverkningsanmälan</t>
        </is>
      </c>
      <c r="C102" t="inlineStr">
        <is>
          <t>Föryngringsavverkning</t>
        </is>
      </c>
      <c r="D102" s="1" t="n">
        <v>45162</v>
      </c>
      <c r="E102" s="1" t="n">
        <v>46225</v>
      </c>
      <c r="F102" t="inlineStr">
        <is>
          <t>SKÅNE LÄN</t>
        </is>
      </c>
      <c r="G102" t="inlineStr">
        <is>
          <t>TOMELILLA</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51031-2023</t>
        </is>
      </c>
      <c r="B103" t="inlineStr">
        <is>
          <t>avverkningsanmälan</t>
        </is>
      </c>
      <c r="C103" t="inlineStr">
        <is>
          <t>Föryngringsavverkning</t>
        </is>
      </c>
      <c r="D103" s="1" t="n">
        <v>45211</v>
      </c>
      <c r="E103" s="1" t="n">
        <v>46225</v>
      </c>
      <c r="F103" t="inlineStr">
        <is>
          <t>SKÅNE LÄN</t>
        </is>
      </c>
      <c r="G103" t="inlineStr">
        <is>
          <t>TOMELILLA</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59528-2022</t>
        </is>
      </c>
      <c r="B104" t="inlineStr">
        <is>
          <t>avverkningsanmälan</t>
        </is>
      </c>
      <c r="C104" t="inlineStr">
        <is>
          <t>Föryngringsavverkning</t>
        </is>
      </c>
      <c r="D104" s="1" t="n">
        <v>44907</v>
      </c>
      <c r="E104" s="1" t="n">
        <v>46225</v>
      </c>
      <c r="F104" t="inlineStr">
        <is>
          <t>SKÅNE LÄN</t>
        </is>
      </c>
      <c r="G104" t="inlineStr">
        <is>
          <t>TOMELILLA</t>
        </is>
      </c>
      <c r="H104" t="inlineStr">
        <is>
          <t>Övriga Aktiebolag</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16027-2022</t>
        </is>
      </c>
      <c r="B105" t="inlineStr">
        <is>
          <t>avverkningsanmälan</t>
        </is>
      </c>
      <c r="C105" t="inlineStr">
        <is>
          <t>Föryngringsavverkning</t>
        </is>
      </c>
      <c r="D105" s="1" t="n">
        <v>44665</v>
      </c>
      <c r="E105" s="1" t="n">
        <v>46225</v>
      </c>
      <c r="F105" t="inlineStr">
        <is>
          <t>SKÅNE LÄN</t>
        </is>
      </c>
      <c r="G105" t="inlineStr">
        <is>
          <t>TOMELILLA</t>
        </is>
      </c>
      <c r="H105" t="inlineStr">
        <is>
          <t>Övriga Aktiebolag</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6259-2024</t>
        </is>
      </c>
      <c r="B106" t="inlineStr">
        <is>
          <t>avverkningsanmälan</t>
        </is>
      </c>
      <c r="C106" t="inlineStr">
        <is>
          <t>Föryngringsavverkning</t>
        </is>
      </c>
      <c r="D106" s="1" t="n">
        <v>45337</v>
      </c>
      <c r="E106" s="1" t="n">
        <v>46225</v>
      </c>
      <c r="F106" t="inlineStr">
        <is>
          <t>SKÅNE LÄN</t>
        </is>
      </c>
      <c r="G106" t="inlineStr">
        <is>
          <t>TOMELILLA</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1199-2024</t>
        </is>
      </c>
      <c r="B107" t="inlineStr">
        <is>
          <t>avverkningsanmälan</t>
        </is>
      </c>
      <c r="C107" t="inlineStr">
        <is>
          <t>Föryngringsavverkning</t>
        </is>
      </c>
      <c r="D107" s="1" t="n">
        <v>45302</v>
      </c>
      <c r="E107" s="1" t="n">
        <v>46225</v>
      </c>
      <c r="F107" t="inlineStr">
        <is>
          <t>SKÅNE LÄN</t>
        </is>
      </c>
      <c r="G107" t="inlineStr">
        <is>
          <t>TOMELILLA</t>
        </is>
      </c>
      <c r="H107" t="inlineStr">
        <is>
          <t>Övriga Aktiebolag</t>
        </is>
      </c>
      <c r="I107" t="n">
        <v>16.1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26473-2024</t>
        </is>
      </c>
      <c r="B108" t="inlineStr">
        <is>
          <t>avverkningsanmälan</t>
        </is>
      </c>
      <c r="C108" t="inlineStr">
        <is>
          <t>Föryngringsavverkning</t>
        </is>
      </c>
      <c r="D108" s="1" t="n">
        <v>45469</v>
      </c>
      <c r="E108" s="1" t="n">
        <v>46225</v>
      </c>
      <c r="F108" t="inlineStr">
        <is>
          <t>SKÅNE LÄN</t>
        </is>
      </c>
      <c r="G108" t="inlineStr">
        <is>
          <t>TOMELILLA</t>
        </is>
      </c>
      <c r="I108" t="n">
        <v>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17778-2024</t>
        </is>
      </c>
      <c r="B109" t="inlineStr">
        <is>
          <t>avverkningsanmälan</t>
        </is>
      </c>
      <c r="C109" t="inlineStr">
        <is>
          <t>Föryngringsavverkning</t>
        </is>
      </c>
      <c r="D109" s="1" t="n">
        <v>45418</v>
      </c>
      <c r="E109" s="1" t="n">
        <v>46225</v>
      </c>
      <c r="F109" t="inlineStr">
        <is>
          <t>SKÅNE LÄN</t>
        </is>
      </c>
      <c r="G109" t="inlineStr">
        <is>
          <t>TOMELILLA</t>
        </is>
      </c>
      <c r="H109" t="inlineStr">
        <is>
          <t>Övriga Aktiebolag</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8190-2024</t>
        </is>
      </c>
      <c r="B110" t="inlineStr">
        <is>
          <t>avverkningsanmälan</t>
        </is>
      </c>
      <c r="C110" t="inlineStr">
        <is>
          <t>Föryngringsavverkning</t>
        </is>
      </c>
      <c r="D110" s="1" t="n">
        <v>45338</v>
      </c>
      <c r="E110" s="1" t="n">
        <v>46225</v>
      </c>
      <c r="F110" t="inlineStr">
        <is>
          <t>SKÅNE LÄN</t>
        </is>
      </c>
      <c r="G110" t="inlineStr">
        <is>
          <t>TOMELILLA</t>
        </is>
      </c>
      <c r="H110" t="inlineStr">
        <is>
          <t>Kyrkan</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8192-2024</t>
        </is>
      </c>
      <c r="B111" t="inlineStr">
        <is>
          <t>avverkningsanmälan</t>
        </is>
      </c>
      <c r="C111" t="inlineStr">
        <is>
          <t>Föryngringsavverkning</t>
        </is>
      </c>
      <c r="D111" s="1" t="n">
        <v>45338</v>
      </c>
      <c r="E111" s="1" t="n">
        <v>46225</v>
      </c>
      <c r="F111" t="inlineStr">
        <is>
          <t>SKÅNE LÄN</t>
        </is>
      </c>
      <c r="G111" t="inlineStr">
        <is>
          <t>TOMELILLA</t>
        </is>
      </c>
      <c r="H111" t="inlineStr">
        <is>
          <t>Kyrkan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17151-2024</t>
        </is>
      </c>
      <c r="B112" t="inlineStr">
        <is>
          <t>avverkningsanmälan</t>
        </is>
      </c>
      <c r="C112" t="inlineStr">
        <is>
          <t>Föryngringsavverkning</t>
        </is>
      </c>
      <c r="D112" s="1" t="n">
        <v>45412</v>
      </c>
      <c r="E112" s="1" t="n">
        <v>46225</v>
      </c>
      <c r="F112" t="inlineStr">
        <is>
          <t>SKÅNE LÄN</t>
        </is>
      </c>
      <c r="G112" t="inlineStr">
        <is>
          <t>TOMELILLA</t>
        </is>
      </c>
      <c r="H112" t="inlineStr">
        <is>
          <t>Övriga Aktiebolag</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12181-2023</t>
        </is>
      </c>
      <c r="B113" t="inlineStr">
        <is>
          <t>avverkningsanmälan</t>
        </is>
      </c>
      <c r="C113" t="inlineStr">
        <is>
          <t>Föryngringsavverkning</t>
        </is>
      </c>
      <c r="D113" s="1" t="n">
        <v>44998</v>
      </c>
      <c r="E113" s="1" t="n">
        <v>46225</v>
      </c>
      <c r="F113" t="inlineStr">
        <is>
          <t>SKÅNE LÄN</t>
        </is>
      </c>
      <c r="G113" t="inlineStr">
        <is>
          <t>TOMELILLA</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23310-2022</t>
        </is>
      </c>
      <c r="B114" t="inlineStr">
        <is>
          <t>avverkningsanmälan</t>
        </is>
      </c>
      <c r="C114" t="inlineStr">
        <is>
          <t>Föryngringsavverkning</t>
        </is>
      </c>
      <c r="D114" s="1" t="n">
        <v>44720</v>
      </c>
      <c r="E114" s="1" t="n">
        <v>46225</v>
      </c>
      <c r="F114" t="inlineStr">
        <is>
          <t>SKÅNE LÄN</t>
        </is>
      </c>
      <c r="G114" t="inlineStr">
        <is>
          <t>TOMELILLA</t>
        </is>
      </c>
      <c r="H114" t="inlineStr">
        <is>
          <t>Övriga Aktiebolag</t>
        </is>
      </c>
      <c r="I114" t="n">
        <v>5.3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5027-2024</t>
        </is>
      </c>
      <c r="B115" t="inlineStr">
        <is>
          <t>avverkningsanmälan</t>
        </is>
      </c>
      <c r="C115" t="inlineStr">
        <is>
          <t>Föryngringsavverkning</t>
        </is>
      </c>
      <c r="D115" s="1" t="n">
        <v>45329</v>
      </c>
      <c r="E115" s="1" t="n">
        <v>46225</v>
      </c>
      <c r="F115" t="inlineStr">
        <is>
          <t>SKÅNE LÄN</t>
        </is>
      </c>
      <c r="G115" t="inlineStr">
        <is>
          <t>TOMELILLA</t>
        </is>
      </c>
      <c r="H115" t="inlineStr">
        <is>
          <t>Övriga Aktiebolag</t>
        </is>
      </c>
      <c r="I115" t="n">
        <v>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743-2024</t>
        </is>
      </c>
      <c r="B116" t="inlineStr">
        <is>
          <t>avverkningsanmälan</t>
        </is>
      </c>
      <c r="C116" t="inlineStr">
        <is>
          <t>Föryngringsavverkning</t>
        </is>
      </c>
      <c r="D116" s="1" t="n">
        <v>45300</v>
      </c>
      <c r="E116" s="1" t="n">
        <v>46225</v>
      </c>
      <c r="F116" t="inlineStr">
        <is>
          <t>SKÅNE LÄN</t>
        </is>
      </c>
      <c r="G116" t="inlineStr">
        <is>
          <t>TOMELILLA</t>
        </is>
      </c>
      <c r="H116" t="inlineStr">
        <is>
          <t>Övriga Aktiebolag</t>
        </is>
      </c>
      <c r="I116" t="n">
        <v>11.1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53977-2022</t>
        </is>
      </c>
      <c r="B117" t="inlineStr">
        <is>
          <t>avverkningsanmälan</t>
        </is>
      </c>
      <c r="C117" t="inlineStr">
        <is>
          <t>Föryngringsavverkning</t>
        </is>
      </c>
      <c r="D117" s="1" t="n">
        <v>44876</v>
      </c>
      <c r="E117" s="1" t="n">
        <v>46225</v>
      </c>
      <c r="F117" t="inlineStr">
        <is>
          <t>SKÅNE LÄN</t>
        </is>
      </c>
      <c r="G117" t="inlineStr">
        <is>
          <t>TOMELILLA</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19500-2024</t>
        </is>
      </c>
      <c r="B118" t="inlineStr">
        <is>
          <t>avverkningsanmälan</t>
        </is>
      </c>
      <c r="C118" t="inlineStr">
        <is>
          <t>Föryngringsavverkning</t>
        </is>
      </c>
      <c r="D118" s="1" t="n">
        <v>45429</v>
      </c>
      <c r="E118" s="1" t="n">
        <v>46225</v>
      </c>
      <c r="F118" t="inlineStr">
        <is>
          <t>SKÅNE LÄN</t>
        </is>
      </c>
      <c r="G118" t="inlineStr">
        <is>
          <t>TOMELILLA</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4188-2024</t>
        </is>
      </c>
      <c r="B119" t="inlineStr">
        <is>
          <t>avverkningsanmälan</t>
        </is>
      </c>
      <c r="C119" t="inlineStr">
        <is>
          <t>Föryngringsavverkning</t>
        </is>
      </c>
      <c r="D119" s="1" t="n">
        <v>45324</v>
      </c>
      <c r="E119" s="1" t="n">
        <v>46225</v>
      </c>
      <c r="F119" t="inlineStr">
        <is>
          <t>SKÅNE LÄN</t>
        </is>
      </c>
      <c r="G119" t="inlineStr">
        <is>
          <t>TOMELILLA</t>
        </is>
      </c>
      <c r="H119" t="inlineStr">
        <is>
          <t>Övriga Aktiebolag</t>
        </is>
      </c>
      <c r="I119" t="n">
        <v>9.6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12663-2022</t>
        </is>
      </c>
      <c r="B120" t="inlineStr">
        <is>
          <t>avverkningsanmälan</t>
        </is>
      </c>
      <c r="C120" t="inlineStr">
        <is>
          <t>Föryngringsavverkning</t>
        </is>
      </c>
      <c r="D120" s="1" t="n">
        <v>44641</v>
      </c>
      <c r="E120" s="1" t="n">
        <v>46225</v>
      </c>
      <c r="F120" t="inlineStr">
        <is>
          <t>SKÅNE LÄN</t>
        </is>
      </c>
      <c r="G120" t="inlineStr">
        <is>
          <t>TOMELILLA</t>
        </is>
      </c>
      <c r="H120" t="inlineStr">
        <is>
          <t>Övriga Aktiebolag</t>
        </is>
      </c>
      <c r="I120" t="n">
        <v>12.4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36180-2024</t>
        </is>
      </c>
      <c r="B121" t="inlineStr">
        <is>
          <t>avverkningsanmälan</t>
        </is>
      </c>
      <c r="C121" t="inlineStr">
        <is>
          <t>Föryngringsavverkning</t>
        </is>
      </c>
      <c r="D121" s="1" t="n">
        <v>45534</v>
      </c>
      <c r="E121" s="1" t="n">
        <v>46225</v>
      </c>
      <c r="F121" t="inlineStr">
        <is>
          <t>SKÅNE LÄN</t>
        </is>
      </c>
      <c r="G121" t="inlineStr">
        <is>
          <t>TOMELILLA</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12903-2024</t>
        </is>
      </c>
      <c r="B122" t="inlineStr">
        <is>
          <t>avverkningsanmälan</t>
        </is>
      </c>
      <c r="C122" t="inlineStr">
        <is>
          <t>Föryngringsavverkning</t>
        </is>
      </c>
      <c r="D122" s="1" t="n">
        <v>45385</v>
      </c>
      <c r="E122" s="1" t="n">
        <v>46225</v>
      </c>
      <c r="F122" t="inlineStr">
        <is>
          <t>SKÅNE LÄN</t>
        </is>
      </c>
      <c r="G122" t="inlineStr">
        <is>
          <t>TOMELILLA</t>
        </is>
      </c>
      <c r="I122" t="n">
        <v>9.199999999999999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15075-2024</t>
        </is>
      </c>
      <c r="B123" t="inlineStr">
        <is>
          <t>avverkningsanmälan</t>
        </is>
      </c>
      <c r="C123" t="inlineStr">
        <is>
          <t>Avverkning för annat ändamål</t>
        </is>
      </c>
      <c r="D123" s="1" t="n">
        <v>45399</v>
      </c>
      <c r="E123" s="1" t="n">
        <v>46225</v>
      </c>
      <c r="F123" t="inlineStr">
        <is>
          <t>SKÅNE LÄN</t>
        </is>
      </c>
      <c r="G123" t="inlineStr">
        <is>
          <t>TOMELILLA</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11887-2024</t>
        </is>
      </c>
      <c r="B124" t="inlineStr">
        <is>
          <t>avverkningsanmälan</t>
        </is>
      </c>
      <c r="C124" t="inlineStr">
        <is>
          <t>Föryngringsavverkning</t>
        </is>
      </c>
      <c r="D124" s="1" t="n">
        <v>45376</v>
      </c>
      <c r="E124" s="1" t="n">
        <v>46225</v>
      </c>
      <c r="F124" t="inlineStr">
        <is>
          <t>SKÅNE LÄN</t>
        </is>
      </c>
      <c r="G124" t="inlineStr">
        <is>
          <t>TOMELILLA</t>
        </is>
      </c>
      <c r="H124" t="inlineStr">
        <is>
          <t>Övriga Aktiebolag</t>
        </is>
      </c>
      <c r="I124" t="n">
        <v>6.3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5565-2024</t>
        </is>
      </c>
      <c r="B125" t="inlineStr">
        <is>
          <t>avverkningsanmälan</t>
        </is>
      </c>
      <c r="C125" t="inlineStr">
        <is>
          <t>Föryngringsavverkning</t>
        </is>
      </c>
      <c r="D125" s="1" t="n">
        <v>45334</v>
      </c>
      <c r="E125" s="1" t="n">
        <v>46225</v>
      </c>
      <c r="F125" t="inlineStr">
        <is>
          <t>SKÅNE LÄN</t>
        </is>
      </c>
      <c r="G125" t="inlineStr">
        <is>
          <t>TOMELILLA</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35742-2024</t>
        </is>
      </c>
      <c r="B126" t="inlineStr">
        <is>
          <t>avverkningsanmälan</t>
        </is>
      </c>
      <c r="C126" t="inlineStr">
        <is>
          <t>Föryngringsavverkning</t>
        </is>
      </c>
      <c r="D126" s="1" t="n">
        <v>45532</v>
      </c>
      <c r="E126" s="1" t="n">
        <v>46225</v>
      </c>
      <c r="F126" t="inlineStr">
        <is>
          <t>SKÅNE LÄN</t>
        </is>
      </c>
      <c r="G126" t="inlineStr">
        <is>
          <t>TOMELILLA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35715-2024</t>
        </is>
      </c>
      <c r="B127" t="inlineStr">
        <is>
          <t>avverkningsanmälan</t>
        </is>
      </c>
      <c r="C127" t="inlineStr">
        <is>
          <t>Föryngringsavverkning</t>
        </is>
      </c>
      <c r="D127" s="1" t="n">
        <v>45532</v>
      </c>
      <c r="E127" s="1" t="n">
        <v>46225</v>
      </c>
      <c r="F127" t="inlineStr">
        <is>
          <t>SKÅNE LÄN</t>
        </is>
      </c>
      <c r="G127" t="inlineStr">
        <is>
          <t>TOMELILLA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11806-2025</t>
        </is>
      </c>
      <c r="B128" t="inlineStr">
        <is>
          <t>avverkningsanmälan</t>
        </is>
      </c>
      <c r="C128" t="inlineStr">
        <is>
          <t>Föryngringsavverkning</t>
        </is>
      </c>
      <c r="D128" s="1" t="n">
        <v>45727</v>
      </c>
      <c r="E128" s="1" t="n">
        <v>46225</v>
      </c>
      <c r="F128" t="inlineStr">
        <is>
          <t>SKÅNE LÄN</t>
        </is>
      </c>
      <c r="G128" t="inlineStr">
        <is>
          <t>TOMELILLA</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11810-2025</t>
        </is>
      </c>
      <c r="B129" t="inlineStr">
        <is>
          <t>avverkningsanmälan</t>
        </is>
      </c>
      <c r="C129" t="inlineStr">
        <is>
          <t>Föryngringsavverkning</t>
        </is>
      </c>
      <c r="D129" s="1" t="n">
        <v>45727</v>
      </c>
      <c r="E129" s="1" t="n">
        <v>46225</v>
      </c>
      <c r="F129" t="inlineStr">
        <is>
          <t>SKÅNE LÄN</t>
        </is>
      </c>
      <c r="G129" t="inlineStr">
        <is>
          <t>TOMELILLA</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23185-2025</t>
        </is>
      </c>
      <c r="B130" t="inlineStr">
        <is>
          <t>avverkningsanmälan</t>
        </is>
      </c>
      <c r="C130" t="inlineStr">
        <is>
          <t>Avverkning för att bevara och utveckla /försöksver</t>
        </is>
      </c>
      <c r="D130" s="1" t="n">
        <v>45791</v>
      </c>
      <c r="E130" s="1" t="n">
        <v>46225</v>
      </c>
      <c r="F130" t="inlineStr">
        <is>
          <t>SKÅNE LÄN</t>
        </is>
      </c>
      <c r="G130" t="inlineStr">
        <is>
          <t>TOMELILLA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17760-2025</t>
        </is>
      </c>
      <c r="B131" t="inlineStr">
        <is>
          <t>avverkningsanmälan</t>
        </is>
      </c>
      <c r="C131" t="inlineStr">
        <is>
          <t>Föryngringsavverkning</t>
        </is>
      </c>
      <c r="D131" s="1" t="n">
        <v>45758</v>
      </c>
      <c r="E131" s="1" t="n">
        <v>46225</v>
      </c>
      <c r="F131" t="inlineStr">
        <is>
          <t>SKÅNE LÄN</t>
        </is>
      </c>
      <c r="G131" t="inlineStr">
        <is>
          <t>TOMELILLA</t>
        </is>
      </c>
      <c r="I131" t="n">
        <v>3.7</v>
      </c>
      <c r="J131" t="n">
        <v>0</v>
      </c>
      <c r="K131" t="n">
        <v>0</v>
      </c>
      <c r="L131" t="n">
        <v>0</v>
      </c>
      <c r="M131" t="n">
        <v>0</v>
      </c>
      <c r="N131" t="n">
        <v>0</v>
      </c>
      <c r="O131" t="n">
        <v>0</v>
      </c>
      <c r="P131" t="n">
        <v>0</v>
      </c>
      <c r="Q131" t="n">
        <v>0</v>
      </c>
      <c r="R131" t="n">
        <v>0</v>
      </c>
      <c r="S131" t="n">
        <v>0</v>
      </c>
      <c r="T131" t="n">
        <v>0</v>
      </c>
      <c r="U131" t="n">
        <v>0</v>
      </c>
      <c r="V131" s="2" t="inlineStr"/>
    </row>
    <row r="132">
      <c r="A132" t="inlineStr">
        <is>
          <t>S 3422-2024</t>
        </is>
      </c>
      <c r="B132" t="inlineStr">
        <is>
          <t>samrådsanmälan</t>
        </is>
      </c>
      <c r="C132" t="inlineStr">
        <is>
          <t>Annan skogsbruksåtgärd</t>
        </is>
      </c>
      <c r="D132" s="1" t="n">
        <v>45537</v>
      </c>
      <c r="E132" s="1" t="n">
        <v>46225</v>
      </c>
      <c r="F132" t="inlineStr">
        <is>
          <t>SKÅNE LÄN</t>
        </is>
      </c>
      <c r="G132" t="inlineStr">
        <is>
          <t>TOMELILLA</t>
        </is>
      </c>
      <c r="H132" t="inlineStr">
        <is>
          <t>Sveaskog</t>
        </is>
      </c>
      <c r="I132" t="n">
        <v>0.1</v>
      </c>
      <c r="J132" t="n">
        <v>0</v>
      </c>
      <c r="K132" t="n">
        <v>0</v>
      </c>
      <c r="L132" t="n">
        <v>0</v>
      </c>
      <c r="M132" t="n">
        <v>0</v>
      </c>
      <c r="N132" t="n">
        <v>0</v>
      </c>
      <c r="O132" t="n">
        <v>0</v>
      </c>
      <c r="P132" t="n">
        <v>0</v>
      </c>
      <c r="Q132" t="n">
        <v>0</v>
      </c>
      <c r="R132" t="n">
        <v>0</v>
      </c>
      <c r="S132" t="n">
        <v>0</v>
      </c>
      <c r="T132" t="n">
        <v>0</v>
      </c>
      <c r="U132" t="n">
        <v>0</v>
      </c>
      <c r="V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2026-07-22T01:36:56Z</dcterms:created>
  <dcterms:modified xmlns:dcterms="http://purl.org/dc/terms/" xmlns:xsi="http://www.w3.org/2001/XMLSchema-instance" xsi:type="dcterms:W3CDTF">2026-07-22T01:36:56Z</dcterms:modified>
</cp:coreProperties>
</file>