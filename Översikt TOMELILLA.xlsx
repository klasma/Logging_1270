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46286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46286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46286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46286</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46286</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46286</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60820-2023</t>
        </is>
      </c>
      <c r="B17" t="inlineStr">
        <is>
          <t>avverkningsanmälan</t>
        </is>
      </c>
      <c r="C17" t="inlineStr">
        <is>
          <t>Föryngringsavverkning</t>
        </is>
      </c>
      <c r="D17" s="1" t="n">
        <v>45260</v>
      </c>
      <c r="E17" s="1" t="n">
        <v>46286</v>
      </c>
      <c r="F17" t="inlineStr">
        <is>
          <t>SKÅNE LÄN</t>
        </is>
      </c>
      <c r="G17" t="inlineStr">
        <is>
          <t>TOMELILLA</t>
        </is>
      </c>
      <c r="I17" t="n">
        <v>4.6</v>
      </c>
      <c r="J17" t="n">
        <v>0</v>
      </c>
      <c r="K17" t="n">
        <v>1</v>
      </c>
      <c r="L17" t="n">
        <v>0</v>
      </c>
      <c r="M17" t="n">
        <v>0</v>
      </c>
      <c r="N17" t="n">
        <v>0</v>
      </c>
      <c r="O17" t="n">
        <v>0</v>
      </c>
      <c r="P17" t="n">
        <v>0</v>
      </c>
      <c r="Q17" t="n">
        <v>0</v>
      </c>
      <c r="R17" t="n">
        <v>0</v>
      </c>
      <c r="S17" t="n">
        <v>1</v>
      </c>
      <c r="T17" t="n">
        <v>1</v>
      </c>
      <c r="U17" t="n">
        <v>0</v>
      </c>
      <c r="V17" s="2" t="inlineStr">
        <is>
          <t>Guldlockmossa</t>
        </is>
      </c>
      <c r="W17">
        <f>HYPERLINK("https://klasma.github.io/Logging_1270/artfynd/A 60820-2023 artfynd.xlsx", "A 60820-2023")</f>
        <v/>
      </c>
      <c r="X17">
        <f>HYPERLINK("https://klasma.github.io/Logging_1270/kartor/A 60820-2023 karta.png", "A 60820-2023")</f>
        <v/>
      </c>
      <c r="Y17">
        <f>HYPERLINK("https://klasma.github.io/Logging_1270/kartor_geotiff/A 60820-2023 georefererad karta.tif", "A 60820-2023")</f>
        <v/>
      </c>
      <c r="AA17">
        <f>HYPERLINK("https://klasma.github.io/Logging_1270/klagomål/A 60820-2023 FSC-klagomål.docx", "A 60820-2023")</f>
        <v/>
      </c>
      <c r="AB17">
        <f>HYPERLINK("https://klasma.github.io/Logging_1270/klagomålsmail/A 60820-2023 FSC-klagomål mail.docx", "A 60820-2023")</f>
        <v/>
      </c>
      <c r="AC17">
        <f>HYPERLINK("https://klasma.github.io/Logging_1270/tillsyn/A 60820-2023 tillsynsbegäran.docx", "A 60820-2023")</f>
        <v/>
      </c>
      <c r="AD17">
        <f>HYPERLINK("https://klasma.github.io/Logging_1270/tillsynsmail/A 60820-2023 tillsynsbegäran mail.docx", "A 60820-2023")</f>
        <v/>
      </c>
    </row>
    <row r="18" ht="15" customHeight="1">
      <c r="A18" t="inlineStr">
        <is>
          <t>A 61314-2025</t>
        </is>
      </c>
      <c r="B18" t="inlineStr">
        <is>
          <t>avverkningsanmälan</t>
        </is>
      </c>
      <c r="C18" t="inlineStr">
        <is>
          <t>Föryngringsavverkning</t>
        </is>
      </c>
      <c r="D18" s="1" t="n">
        <v>46000</v>
      </c>
      <c r="E18" s="1" t="n">
        <v>46286</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28862-2023</t>
        </is>
      </c>
      <c r="B19" t="inlineStr">
        <is>
          <t>avverkningsanmälan</t>
        </is>
      </c>
      <c r="C19" t="inlineStr">
        <is>
          <t>Föryngringsavverkning</t>
        </is>
      </c>
      <c r="D19" s="1" t="n">
        <v>45104</v>
      </c>
      <c r="E19" s="1" t="n">
        <v>46286</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46286</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32949-2026</t>
        </is>
      </c>
      <c r="B21" t="inlineStr">
        <is>
          <t>avverkningsanmälan</t>
        </is>
      </c>
      <c r="C21" t="inlineStr">
        <is>
          <t>Föryngringsavverkning</t>
        </is>
      </c>
      <c r="D21" s="1" t="n">
        <v>46244</v>
      </c>
      <c r="E21" s="1" t="n">
        <v>46286</v>
      </c>
      <c r="F21" t="inlineStr">
        <is>
          <t>SKÅNE LÄN</t>
        </is>
      </c>
      <c r="G21" t="inlineStr">
        <is>
          <t>TOMELILLA</t>
        </is>
      </c>
      <c r="I21" t="n">
        <v>4.8</v>
      </c>
      <c r="J21" t="n">
        <v>1</v>
      </c>
      <c r="K21" t="n">
        <v>0</v>
      </c>
      <c r="L21" t="n">
        <v>0</v>
      </c>
      <c r="M21" t="n">
        <v>0</v>
      </c>
      <c r="N21" t="n">
        <v>0</v>
      </c>
      <c r="O21" t="n">
        <v>0</v>
      </c>
      <c r="P21" t="n">
        <v>0</v>
      </c>
      <c r="Q21" t="n">
        <v>0</v>
      </c>
      <c r="R21" t="n">
        <v>0</v>
      </c>
      <c r="S21" t="n">
        <v>1</v>
      </c>
      <c r="T21" t="n">
        <v>1</v>
      </c>
      <c r="U21" t="n">
        <v>0</v>
      </c>
      <c r="V21" s="2" t="inlineStr">
        <is>
          <t>Trana</t>
        </is>
      </c>
      <c r="W21">
        <f>HYPERLINK("https://klasma.github.io/Logging_1270/artfynd/A 32949-2026 artfynd.xlsx", "A 32949-2026")</f>
        <v/>
      </c>
      <c r="X21">
        <f>HYPERLINK("https://klasma.github.io/Logging_1270/kartor/A 32949-2026 karta.png", "A 32949-2026")</f>
        <v/>
      </c>
      <c r="Y21">
        <f>HYPERLINK("https://klasma.github.io/Logging_1270/kartor_geotiff/A 32949-2026 georefererad karta.tif", "A 32949-2026")</f>
        <v/>
      </c>
      <c r="AA21">
        <f>HYPERLINK("https://klasma.github.io/Logging_1270/klagomål/A 32949-2026 FSC-klagomål.docx", "A 32949-2026")</f>
        <v/>
      </c>
      <c r="AB21">
        <f>HYPERLINK("https://klasma.github.io/Logging_1270/klagomålsmail/A 32949-2026 FSC-klagomål mail.docx", "A 32949-2026")</f>
        <v/>
      </c>
      <c r="AC21">
        <f>HYPERLINK("https://klasma.github.io/Logging_1270/tillsyn/A 32949-2026 tillsynsbegäran.docx", "A 32949-2026")</f>
        <v/>
      </c>
      <c r="AD21">
        <f>HYPERLINK("https://klasma.github.io/Logging_1270/tillsynsmail/A 32949-2026 tillsynsbegäran mail.docx", "A 32949-2026")</f>
        <v/>
      </c>
      <c r="AE21">
        <f>HYPERLINK("https://klasma.github.io/Logging_1270/fåglar/A 32949-2026 prioriterade fågelarter.docx", "A 32949-2026")</f>
        <v/>
      </c>
    </row>
    <row r="22" ht="15" customHeight="1">
      <c r="A22" t="inlineStr">
        <is>
          <t>A 42387-2022</t>
        </is>
      </c>
      <c r="B22" t="inlineStr">
        <is>
          <t>avverkningsanmälan</t>
        </is>
      </c>
      <c r="C22" t="inlineStr">
        <is>
          <t>Föryngringsavverkning</t>
        </is>
      </c>
      <c r="D22" s="1" t="n">
        <v>44830</v>
      </c>
      <c r="E22" s="1" t="n">
        <v>46286</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20397-2026</t>
        </is>
      </c>
      <c r="B23" t="inlineStr">
        <is>
          <t>avverkningsanmälan</t>
        </is>
      </c>
      <c r="C23" t="inlineStr">
        <is>
          <t>Föryngringsavverkning</t>
        </is>
      </c>
      <c r="D23" s="1" t="n">
        <v>46139</v>
      </c>
      <c r="E23" s="1" t="n">
        <v>46286</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17907-2024</t>
        </is>
      </c>
      <c r="B24" t="inlineStr">
        <is>
          <t>avverkningsanmälan</t>
        </is>
      </c>
      <c r="C24" t="inlineStr">
        <is>
          <t>Föryngringsavverkning</t>
        </is>
      </c>
      <c r="D24" s="1" t="n">
        <v>45419</v>
      </c>
      <c r="E24" s="1" t="n">
        <v>46286</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26823-2026</t>
        </is>
      </c>
      <c r="B25" t="inlineStr">
        <is>
          <t>avverkningsanmälan</t>
        </is>
      </c>
      <c r="C25" t="inlineStr">
        <is>
          <t>Föryngringsavverkning</t>
        </is>
      </c>
      <c r="D25" s="1" t="n">
        <v>46183</v>
      </c>
      <c r="E25" s="1" t="n">
        <v>46286</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6261-2024</t>
        </is>
      </c>
      <c r="B26" t="inlineStr">
        <is>
          <t>avverkningsanmälan</t>
        </is>
      </c>
      <c r="C26" t="inlineStr">
        <is>
          <t>Föryngringsavverkning</t>
        </is>
      </c>
      <c r="D26" s="1" t="n">
        <v>45337</v>
      </c>
      <c r="E26" s="1" t="n">
        <v>46286</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46286</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46286</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46286</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46286</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46286</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46286</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46286</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46286</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46286</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46286</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46286</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46286</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46286</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46286</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11887-2024</t>
        </is>
      </c>
      <c r="B41" t="inlineStr">
        <is>
          <t>avverkningsanmälan</t>
        </is>
      </c>
      <c r="C41" t="inlineStr">
        <is>
          <t>Föryngringsavverkning</t>
        </is>
      </c>
      <c r="D41" s="1" t="n">
        <v>45376</v>
      </c>
      <c r="E41" s="1" t="n">
        <v>46286</v>
      </c>
      <c r="F41" t="inlineStr">
        <is>
          <t>SKÅNE LÄN</t>
        </is>
      </c>
      <c r="G41" t="inlineStr">
        <is>
          <t>TOMELILLA</t>
        </is>
      </c>
      <c r="H41" t="inlineStr">
        <is>
          <t>Övriga Aktiebolag</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46286</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46286</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46286</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46286</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46286</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46286</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578-2024</t>
        </is>
      </c>
      <c r="B48" t="inlineStr">
        <is>
          <t>avverkningsanmälan</t>
        </is>
      </c>
      <c r="C48" t="inlineStr">
        <is>
          <t>Föryngringsavverkning</t>
        </is>
      </c>
      <c r="D48" s="1" t="n">
        <v>45299</v>
      </c>
      <c r="E48" s="1" t="n">
        <v>46286</v>
      </c>
      <c r="F48" t="inlineStr">
        <is>
          <t>SKÅNE LÄN</t>
        </is>
      </c>
      <c r="G48" t="inlineStr">
        <is>
          <t>TOMELILLA</t>
        </is>
      </c>
      <c r="H48" t="inlineStr">
        <is>
          <t>Övriga Aktiebolag</t>
        </is>
      </c>
      <c r="I48" t="n">
        <v>67.40000000000001</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46286</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46286</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19454-2024</t>
        </is>
      </c>
      <c r="B51" t="inlineStr">
        <is>
          <t>avverkningsanmälan</t>
        </is>
      </c>
      <c r="C51" t="inlineStr">
        <is>
          <t>Föryngringsavverkning</t>
        </is>
      </c>
      <c r="D51" s="1" t="n">
        <v>45429</v>
      </c>
      <c r="E51" s="1" t="n">
        <v>46286</v>
      </c>
      <c r="F51" t="inlineStr">
        <is>
          <t>SKÅNE LÄN</t>
        </is>
      </c>
      <c r="G51" t="inlineStr">
        <is>
          <t>TOMELILLA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59528-2022</t>
        </is>
      </c>
      <c r="B52" t="inlineStr">
        <is>
          <t>avverkningsanmälan</t>
        </is>
      </c>
      <c r="C52" t="inlineStr">
        <is>
          <t>Föryngringsavverkning</t>
        </is>
      </c>
      <c r="D52" s="1" t="n">
        <v>44907</v>
      </c>
      <c r="E52" s="1" t="n">
        <v>46286</v>
      </c>
      <c r="F52" t="inlineStr">
        <is>
          <t>SKÅNE LÄN</t>
        </is>
      </c>
      <c r="G52" t="inlineStr">
        <is>
          <t>TOMELILLA</t>
        </is>
      </c>
      <c r="H52" t="inlineStr">
        <is>
          <t>Övriga Aktiebolag</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1199-2024</t>
        </is>
      </c>
      <c r="B53" t="inlineStr">
        <is>
          <t>avverkningsanmälan</t>
        </is>
      </c>
      <c r="C53" t="inlineStr">
        <is>
          <t>Föryngringsavverkning</t>
        </is>
      </c>
      <c r="D53" s="1" t="n">
        <v>45302</v>
      </c>
      <c r="E53" s="1" t="n">
        <v>46286</v>
      </c>
      <c r="F53" t="inlineStr">
        <is>
          <t>SKÅNE LÄN</t>
        </is>
      </c>
      <c r="G53" t="inlineStr">
        <is>
          <t>TOMELILLA</t>
        </is>
      </c>
      <c r="H53" t="inlineStr">
        <is>
          <t>Övriga Aktiebolag</t>
        </is>
      </c>
      <c r="I53" t="n">
        <v>16.1</v>
      </c>
      <c r="J53" t="n">
        <v>0</v>
      </c>
      <c r="K53" t="n">
        <v>0</v>
      </c>
      <c r="L53" t="n">
        <v>0</v>
      </c>
      <c r="M53" t="n">
        <v>0</v>
      </c>
      <c r="N53" t="n">
        <v>0</v>
      </c>
      <c r="O53" t="n">
        <v>0</v>
      </c>
      <c r="P53" t="n">
        <v>0</v>
      </c>
      <c r="Q53" t="n">
        <v>0</v>
      </c>
      <c r="R53" t="n">
        <v>0</v>
      </c>
      <c r="S53" t="n">
        <v>0</v>
      </c>
      <c r="T53" t="n">
        <v>0</v>
      </c>
      <c r="U53" t="n">
        <v>0</v>
      </c>
      <c r="V53" s="2" t="inlineStr"/>
    </row>
    <row r="54" ht="15" customHeight="1">
      <c r="A54" t="inlineStr">
        <is>
          <t>A 30673-2023</t>
        </is>
      </c>
      <c r="B54" t="inlineStr">
        <is>
          <t>avverkningsanmälan</t>
        </is>
      </c>
      <c r="C54" t="inlineStr">
        <is>
          <t>Föryngringsavverkning</t>
        </is>
      </c>
      <c r="D54" s="1" t="n">
        <v>45112</v>
      </c>
      <c r="E54" s="1" t="n">
        <v>46286</v>
      </c>
      <c r="F54" t="inlineStr">
        <is>
          <t>SKÅNE LÄN</t>
        </is>
      </c>
      <c r="G54" t="inlineStr">
        <is>
          <t>TOMELILLA</t>
        </is>
      </c>
      <c r="H54" t="inlineStr">
        <is>
          <t>Övriga Aktiebolag</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4018-2024</t>
        </is>
      </c>
      <c r="B55" t="inlineStr">
        <is>
          <t>avverkningsanmälan</t>
        </is>
      </c>
      <c r="C55" t="inlineStr">
        <is>
          <t>Föryngringsavverkning</t>
        </is>
      </c>
      <c r="D55" s="1" t="n">
        <v>45323</v>
      </c>
      <c r="E55" s="1" t="n">
        <v>46286</v>
      </c>
      <c r="F55" t="inlineStr">
        <is>
          <t>SKÅNE LÄN</t>
        </is>
      </c>
      <c r="G55" t="inlineStr">
        <is>
          <t>TOMELILLA</t>
        </is>
      </c>
      <c r="H55" t="inlineStr">
        <is>
          <t>Övriga Aktiebolag</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61841-2025</t>
        </is>
      </c>
      <c r="B56" t="inlineStr">
        <is>
          <t>avverkningsanmälan</t>
        </is>
      </c>
      <c r="C56" t="inlineStr">
        <is>
          <t>Föryngringsavverkning</t>
        </is>
      </c>
      <c r="D56" s="1" t="n">
        <v>46003</v>
      </c>
      <c r="E56" s="1" t="n">
        <v>46286</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46286</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6259-2024</t>
        </is>
      </c>
      <c r="B58" t="inlineStr">
        <is>
          <t>avverkningsanmälan</t>
        </is>
      </c>
      <c r="C58" t="inlineStr">
        <is>
          <t>Föryngringsavverkning</t>
        </is>
      </c>
      <c r="D58" s="1" t="n">
        <v>45337</v>
      </c>
      <c r="E58" s="1" t="n">
        <v>46286</v>
      </c>
      <c r="F58" t="inlineStr">
        <is>
          <t>SKÅNE LÄN</t>
        </is>
      </c>
      <c r="G58" t="inlineStr">
        <is>
          <t>TOMELILLA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46286</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46286</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15158-2025</t>
        </is>
      </c>
      <c r="B61" t="inlineStr">
        <is>
          <t>avverkningsanmälan</t>
        </is>
      </c>
      <c r="C61" t="inlineStr">
        <is>
          <t>Föryngringsavverkning</t>
        </is>
      </c>
      <c r="D61" s="1" t="n">
        <v>45744</v>
      </c>
      <c r="E61" s="1" t="n">
        <v>46286</v>
      </c>
      <c r="F61" t="inlineStr">
        <is>
          <t>SKÅNE LÄN</t>
        </is>
      </c>
      <c r="G61" t="inlineStr">
        <is>
          <t>TOMELILLA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6852-2026</t>
        </is>
      </c>
      <c r="B62" t="inlineStr">
        <is>
          <t>avverkningsanmälan</t>
        </is>
      </c>
      <c r="C62" t="inlineStr">
        <is>
          <t>Föryngringsavverkning</t>
        </is>
      </c>
      <c r="D62" s="1" t="n">
        <v>46057</v>
      </c>
      <c r="E62" s="1" t="n">
        <v>46286</v>
      </c>
      <c r="F62" t="inlineStr">
        <is>
          <t>SKÅNE LÄN</t>
        </is>
      </c>
      <c r="G62" t="inlineStr">
        <is>
          <t>TOMELILLA</t>
        </is>
      </c>
      <c r="H62" t="inlineStr">
        <is>
          <t>Övriga Aktiebolag</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43306-2025</t>
        </is>
      </c>
      <c r="B63" t="inlineStr">
        <is>
          <t>avverkningsanmälan</t>
        </is>
      </c>
      <c r="C63" t="inlineStr">
        <is>
          <t>Föryngringsavverkning</t>
        </is>
      </c>
      <c r="D63" s="1" t="n">
        <v>45910</v>
      </c>
      <c r="E63" s="1" t="n">
        <v>46286</v>
      </c>
      <c r="F63" t="inlineStr">
        <is>
          <t>SKÅNE LÄN</t>
        </is>
      </c>
      <c r="G63" t="inlineStr">
        <is>
          <t>TOMELILLA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4188-2024</t>
        </is>
      </c>
      <c r="B64" t="inlineStr">
        <is>
          <t>avverkningsanmälan</t>
        </is>
      </c>
      <c r="C64" t="inlineStr">
        <is>
          <t>Föryngringsavverkning</t>
        </is>
      </c>
      <c r="D64" s="1" t="n">
        <v>45324</v>
      </c>
      <c r="E64" s="1" t="n">
        <v>46286</v>
      </c>
      <c r="F64" t="inlineStr">
        <is>
          <t>SKÅNE LÄN</t>
        </is>
      </c>
      <c r="G64" t="inlineStr">
        <is>
          <t>TOMELILLA</t>
        </is>
      </c>
      <c r="H64" t="inlineStr">
        <is>
          <t>Övriga Aktiebolag</t>
        </is>
      </c>
      <c r="I64" t="n">
        <v>9.6</v>
      </c>
      <c r="J64" t="n">
        <v>0</v>
      </c>
      <c r="K64" t="n">
        <v>0</v>
      </c>
      <c r="L64" t="n">
        <v>0</v>
      </c>
      <c r="M64" t="n">
        <v>0</v>
      </c>
      <c r="N64" t="n">
        <v>0</v>
      </c>
      <c r="O64" t="n">
        <v>0</v>
      </c>
      <c r="P64" t="n">
        <v>0</v>
      </c>
      <c r="Q64" t="n">
        <v>0</v>
      </c>
      <c r="R64" t="n">
        <v>0</v>
      </c>
      <c r="S64" t="n">
        <v>0</v>
      </c>
      <c r="T64" t="n">
        <v>0</v>
      </c>
      <c r="U64" t="n">
        <v>0</v>
      </c>
      <c r="V64" s="2" t="inlineStr"/>
    </row>
    <row r="65" ht="15" customHeight="1">
      <c r="A65" t="inlineStr">
        <is>
          <t>A 2190-2022</t>
        </is>
      </c>
      <c r="B65" t="inlineStr">
        <is>
          <t>avverkningsanmälan</t>
        </is>
      </c>
      <c r="C65" t="inlineStr">
        <is>
          <t>Föryngringsavverkning</t>
        </is>
      </c>
      <c r="D65" s="1" t="n">
        <v>44578</v>
      </c>
      <c r="E65" s="1" t="n">
        <v>46286</v>
      </c>
      <c r="F65" t="inlineStr">
        <is>
          <t>SKÅNE LÄN</t>
        </is>
      </c>
      <c r="G65" t="inlineStr">
        <is>
          <t>TOMELILLA</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53977-2022</t>
        </is>
      </c>
      <c r="B66" t="inlineStr">
        <is>
          <t>avverkningsanmälan</t>
        </is>
      </c>
      <c r="C66" t="inlineStr">
        <is>
          <t>Föryngringsavverkning</t>
        </is>
      </c>
      <c r="D66" s="1" t="n">
        <v>44876</v>
      </c>
      <c r="E66" s="1" t="n">
        <v>46286</v>
      </c>
      <c r="F66" t="inlineStr">
        <is>
          <t>SKÅNE LÄN</t>
        </is>
      </c>
      <c r="G66" t="inlineStr">
        <is>
          <t>TOMELILLA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12903-2024</t>
        </is>
      </c>
      <c r="B67" t="inlineStr">
        <is>
          <t>avverkningsanmälan</t>
        </is>
      </c>
      <c r="C67" t="inlineStr">
        <is>
          <t>Föryngringsavverkning</t>
        </is>
      </c>
      <c r="D67" s="1" t="n">
        <v>45385</v>
      </c>
      <c r="E67" s="1" t="n">
        <v>46286</v>
      </c>
      <c r="F67" t="inlineStr">
        <is>
          <t>SKÅNE LÄN</t>
        </is>
      </c>
      <c r="G67" t="inlineStr">
        <is>
          <t>TOMELILLA</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17151-2024</t>
        </is>
      </c>
      <c r="B68" t="inlineStr">
        <is>
          <t>avverkningsanmälan</t>
        </is>
      </c>
      <c r="C68" t="inlineStr">
        <is>
          <t>Föryngringsavverkning</t>
        </is>
      </c>
      <c r="D68" s="1" t="n">
        <v>45412</v>
      </c>
      <c r="E68" s="1" t="n">
        <v>46286</v>
      </c>
      <c r="F68" t="inlineStr">
        <is>
          <t>SKÅNE LÄN</t>
        </is>
      </c>
      <c r="G68" t="inlineStr">
        <is>
          <t>TOMELILLA</t>
        </is>
      </c>
      <c r="H68" t="inlineStr">
        <is>
          <t>Övriga Aktiebolag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48171-2025</t>
        </is>
      </c>
      <c r="B69" t="inlineStr">
        <is>
          <t>avverkningsanmälan</t>
        </is>
      </c>
      <c r="C69" t="inlineStr">
        <is>
          <t>Föryngringsavverkning</t>
        </is>
      </c>
      <c r="D69" s="1" t="n">
        <v>45933</v>
      </c>
      <c r="E69" s="1" t="n">
        <v>46286</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30040-2024</t>
        </is>
      </c>
      <c r="B70" t="inlineStr">
        <is>
          <t>avverkningsanmälan</t>
        </is>
      </c>
      <c r="C70" t="inlineStr">
        <is>
          <t>Avverkning för annat ändamål</t>
        </is>
      </c>
      <c r="D70" s="1" t="n">
        <v>45488</v>
      </c>
      <c r="E70" s="1" t="n">
        <v>46286</v>
      </c>
      <c r="F70" t="inlineStr">
        <is>
          <t>SKÅNE LÄN</t>
        </is>
      </c>
      <c r="G70" t="inlineStr">
        <is>
          <t>TOMELILLA</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21291-2026</t>
        </is>
      </c>
      <c r="B71" t="inlineStr">
        <is>
          <t>avverkningsanmälan</t>
        </is>
      </c>
      <c r="C71" t="inlineStr">
        <is>
          <t>Föryngringsavverkning</t>
        </is>
      </c>
      <c r="D71" s="1" t="n">
        <v>46147</v>
      </c>
      <c r="E71" s="1" t="n">
        <v>46286</v>
      </c>
      <c r="F71" t="inlineStr">
        <is>
          <t>SKÅNE LÄN</t>
        </is>
      </c>
      <c r="G71" t="inlineStr">
        <is>
          <t>TOMELILLA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21293-2026</t>
        </is>
      </c>
      <c r="B72" t="inlineStr">
        <is>
          <t>avverkningsanmälan</t>
        </is>
      </c>
      <c r="C72" t="inlineStr">
        <is>
          <t>Föryngringsavverkning</t>
        </is>
      </c>
      <c r="D72" s="1" t="n">
        <v>46147</v>
      </c>
      <c r="E72" s="1" t="n">
        <v>46286</v>
      </c>
      <c r="F72" t="inlineStr">
        <is>
          <t>SKÅNE LÄN</t>
        </is>
      </c>
      <c r="G72" t="inlineStr">
        <is>
          <t>TOMELILLA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39791-2025</t>
        </is>
      </c>
      <c r="B73" t="inlineStr">
        <is>
          <t>avverkningsanmälan</t>
        </is>
      </c>
      <c r="C73" t="inlineStr">
        <is>
          <t>Föryngringsavverkning</t>
        </is>
      </c>
      <c r="D73" s="1" t="n">
        <v>45891</v>
      </c>
      <c r="E73" s="1" t="n">
        <v>46286</v>
      </c>
      <c r="F73" t="inlineStr">
        <is>
          <t>SKÅNE LÄN</t>
        </is>
      </c>
      <c r="G73" t="inlineStr">
        <is>
          <t>TOMELILLA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16483-2024</t>
        </is>
      </c>
      <c r="B74" t="inlineStr">
        <is>
          <t>avverkningsanmälan</t>
        </is>
      </c>
      <c r="C74" t="inlineStr">
        <is>
          <t>Föryngringsavverkning</t>
        </is>
      </c>
      <c r="D74" s="1" t="n">
        <v>45408</v>
      </c>
      <c r="E74" s="1" t="n">
        <v>46286</v>
      </c>
      <c r="F74" t="inlineStr">
        <is>
          <t>SKÅNE LÄN</t>
        </is>
      </c>
      <c r="G74" t="inlineStr">
        <is>
          <t>TOMELILLA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12663-2022</t>
        </is>
      </c>
      <c r="B75" t="inlineStr">
        <is>
          <t>avverkningsanmälan</t>
        </is>
      </c>
      <c r="C75" t="inlineStr">
        <is>
          <t>Föryngringsavverkning</t>
        </is>
      </c>
      <c r="D75" s="1" t="n">
        <v>44641</v>
      </c>
      <c r="E75" s="1" t="n">
        <v>46286</v>
      </c>
      <c r="F75" t="inlineStr">
        <is>
          <t>SKÅNE LÄN</t>
        </is>
      </c>
      <c r="G75" t="inlineStr">
        <is>
          <t>TOMELILLA</t>
        </is>
      </c>
      <c r="H75" t="inlineStr">
        <is>
          <t>Övriga Aktiebolag</t>
        </is>
      </c>
      <c r="I75" t="n">
        <v>12.4</v>
      </c>
      <c r="J75" t="n">
        <v>0</v>
      </c>
      <c r="K75" t="n">
        <v>0</v>
      </c>
      <c r="L75" t="n">
        <v>0</v>
      </c>
      <c r="M75" t="n">
        <v>0</v>
      </c>
      <c r="N75" t="n">
        <v>0</v>
      </c>
      <c r="O75" t="n">
        <v>0</v>
      </c>
      <c r="P75" t="n">
        <v>0</v>
      </c>
      <c r="Q75" t="n">
        <v>0</v>
      </c>
      <c r="R75" t="n">
        <v>0</v>
      </c>
      <c r="S75" t="n">
        <v>0</v>
      </c>
      <c r="T75" t="n">
        <v>0</v>
      </c>
      <c r="U75" t="n">
        <v>0</v>
      </c>
      <c r="V75" s="2" t="inlineStr"/>
    </row>
    <row r="76" ht="15" customHeight="1">
      <c r="A76" t="inlineStr">
        <is>
          <t>A 30806-2023</t>
        </is>
      </c>
      <c r="B76" t="inlineStr">
        <is>
          <t>avverkningsanmälan</t>
        </is>
      </c>
      <c r="C76" t="inlineStr">
        <is>
          <t>Föryngringsavverkning</t>
        </is>
      </c>
      <c r="D76" s="1" t="n">
        <v>45112</v>
      </c>
      <c r="E76" s="1" t="n">
        <v>46286</v>
      </c>
      <c r="F76" t="inlineStr">
        <is>
          <t>SKÅNE LÄN</t>
        </is>
      </c>
      <c r="G76" t="inlineStr">
        <is>
          <t>TOMELILLA</t>
        </is>
      </c>
      <c r="H76" t="inlineStr">
        <is>
          <t>Övriga Aktiebolag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17316-2024</t>
        </is>
      </c>
      <c r="B77" t="inlineStr">
        <is>
          <t>avverkningsanmälan</t>
        </is>
      </c>
      <c r="C77" t="inlineStr">
        <is>
          <t>Föryngringsavverkning</t>
        </is>
      </c>
      <c r="D77" s="1" t="n">
        <v>45414</v>
      </c>
      <c r="E77" s="1" t="n">
        <v>46286</v>
      </c>
      <c r="F77" t="inlineStr">
        <is>
          <t>SKÅNE LÄN</t>
        </is>
      </c>
      <c r="G77" t="inlineStr">
        <is>
          <t>TOMELILLA</t>
        </is>
      </c>
      <c r="H77" t="inlineStr">
        <is>
          <t>Övriga Aktiebolag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15288-2026</t>
        </is>
      </c>
      <c r="B78" t="inlineStr">
        <is>
          <t>avverkningsanmälan</t>
        </is>
      </c>
      <c r="C78" t="inlineStr">
        <is>
          <t>Föryngringsavverkning</t>
        </is>
      </c>
      <c r="D78" s="1" t="n">
        <v>46105</v>
      </c>
      <c r="E78" s="1" t="n">
        <v>46286</v>
      </c>
      <c r="F78" t="inlineStr">
        <is>
          <t>SKÅNE LÄN</t>
        </is>
      </c>
      <c r="G78" t="inlineStr">
        <is>
          <t>TOMELILLA</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49913-2025</t>
        </is>
      </c>
      <c r="B79" t="inlineStr">
        <is>
          <t>avverkningsanmälan</t>
        </is>
      </c>
      <c r="C79" t="inlineStr">
        <is>
          <t>Avverkning för annat ändamål</t>
        </is>
      </c>
      <c r="D79" s="1" t="n">
        <v>45940</v>
      </c>
      <c r="E79" s="1" t="n">
        <v>46286</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39796-2025</t>
        </is>
      </c>
      <c r="B80" t="inlineStr">
        <is>
          <t>avverkningsanmälan</t>
        </is>
      </c>
      <c r="C80" t="inlineStr">
        <is>
          <t>Föryngringsavverkning</t>
        </is>
      </c>
      <c r="D80" s="1" t="n">
        <v>45891</v>
      </c>
      <c r="E80" s="1" t="n">
        <v>46286</v>
      </c>
      <c r="F80" t="inlineStr">
        <is>
          <t>SKÅNE LÄN</t>
        </is>
      </c>
      <c r="G80" t="inlineStr">
        <is>
          <t>TOMELILLA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46286</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16568-2024</t>
        </is>
      </c>
      <c r="B82" t="inlineStr">
        <is>
          <t>avverkningsanmälan</t>
        </is>
      </c>
      <c r="C82" t="inlineStr">
        <is>
          <t>Föryngringsavverkning</t>
        </is>
      </c>
      <c r="D82" s="1" t="n">
        <v>45408</v>
      </c>
      <c r="E82" s="1" t="n">
        <v>46286</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46286</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11802-2024</t>
        </is>
      </c>
      <c r="B84" t="inlineStr">
        <is>
          <t>avverkningsanmälan</t>
        </is>
      </c>
      <c r="C84" t="inlineStr">
        <is>
          <t>Föryngringsavverkning</t>
        </is>
      </c>
      <c r="D84" s="1" t="n">
        <v>45375</v>
      </c>
      <c r="E84" s="1" t="n">
        <v>46286</v>
      </c>
      <c r="F84" t="inlineStr">
        <is>
          <t>SKÅNE LÄN</t>
        </is>
      </c>
      <c r="G84" t="inlineStr">
        <is>
          <t>TOMELILLA</t>
        </is>
      </c>
      <c r="H84" t="inlineStr">
        <is>
          <t>Övriga Aktiebolag</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11894-2024</t>
        </is>
      </c>
      <c r="B85" t="inlineStr">
        <is>
          <t>avverkningsanmälan</t>
        </is>
      </c>
      <c r="C85" t="inlineStr">
        <is>
          <t>Föryngringsavverkning</t>
        </is>
      </c>
      <c r="D85" s="1" t="n">
        <v>45376</v>
      </c>
      <c r="E85" s="1" t="n">
        <v>46286</v>
      </c>
      <c r="F85" t="inlineStr">
        <is>
          <t>SKÅNE LÄN</t>
        </is>
      </c>
      <c r="G85" t="inlineStr">
        <is>
          <t>TOMELILLA</t>
        </is>
      </c>
      <c r="H85" t="inlineStr">
        <is>
          <t>Övriga Aktiebolag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24248-2024</t>
        </is>
      </c>
      <c r="B86" t="inlineStr">
        <is>
          <t>avverkningsanmälan</t>
        </is>
      </c>
      <c r="C86" t="inlineStr">
        <is>
          <t>Föryngringsavverkning</t>
        </is>
      </c>
      <c r="D86" s="1" t="n">
        <v>45457</v>
      </c>
      <c r="E86" s="1" t="n">
        <v>46286</v>
      </c>
      <c r="F86" t="inlineStr">
        <is>
          <t>SKÅNE LÄN</t>
        </is>
      </c>
      <c r="G86" t="inlineStr">
        <is>
          <t>TOMELILLA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16611-2026</t>
        </is>
      </c>
      <c r="B87" t="inlineStr">
        <is>
          <t>avverkningsanmälan</t>
        </is>
      </c>
      <c r="C87" t="inlineStr">
        <is>
          <t>Föryngringsavverkning</t>
        </is>
      </c>
      <c r="D87" s="1" t="n">
        <v>46112</v>
      </c>
      <c r="E87" s="1" t="n">
        <v>46286</v>
      </c>
      <c r="F87" t="inlineStr">
        <is>
          <t>SKÅNE LÄN</t>
        </is>
      </c>
      <c r="G87" t="inlineStr">
        <is>
          <t>TOMELILLA</t>
        </is>
      </c>
      <c r="H87" t="inlineStr">
        <is>
          <t>Kommuner</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5027-2024</t>
        </is>
      </c>
      <c r="B88" t="inlineStr">
        <is>
          <t>avverkningsanmälan</t>
        </is>
      </c>
      <c r="C88" t="inlineStr">
        <is>
          <t>Föryngringsavverkning</t>
        </is>
      </c>
      <c r="D88" s="1" t="n">
        <v>45329</v>
      </c>
      <c r="E88" s="1" t="n">
        <v>46286</v>
      </c>
      <c r="F88" t="inlineStr">
        <is>
          <t>SKÅNE LÄN</t>
        </is>
      </c>
      <c r="G88" t="inlineStr">
        <is>
          <t>TOMELILLA</t>
        </is>
      </c>
      <c r="H88" t="inlineStr">
        <is>
          <t>Övriga Aktiebolag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49815-2025</t>
        </is>
      </c>
      <c r="B89" t="inlineStr">
        <is>
          <t>avverkningsanmälan</t>
        </is>
      </c>
      <c r="C89" t="inlineStr">
        <is>
          <t>Föryngringsavverkning</t>
        </is>
      </c>
      <c r="D89" s="1" t="n">
        <v>45940</v>
      </c>
      <c r="E89" s="1" t="n">
        <v>46286</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24002-2026</t>
        </is>
      </c>
      <c r="B90" t="inlineStr">
        <is>
          <t>avverkningsanmälan</t>
        </is>
      </c>
      <c r="C90" t="inlineStr">
        <is>
          <t>Avverkning för annat ändamål</t>
        </is>
      </c>
      <c r="D90" s="1" t="n">
        <v>46167</v>
      </c>
      <c r="E90" s="1" t="n">
        <v>46286</v>
      </c>
      <c r="F90" t="inlineStr">
        <is>
          <t>SKÅNE LÄN</t>
        </is>
      </c>
      <c r="G90" t="inlineStr">
        <is>
          <t>TOMELILLA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12181-2023</t>
        </is>
      </c>
      <c r="B91" t="inlineStr">
        <is>
          <t>avverkningsanmälan</t>
        </is>
      </c>
      <c r="C91" t="inlineStr">
        <is>
          <t>Föryngringsavverkning</t>
        </is>
      </c>
      <c r="D91" s="1" t="n">
        <v>44998</v>
      </c>
      <c r="E91" s="1" t="n">
        <v>46286</v>
      </c>
      <c r="F91" t="inlineStr">
        <is>
          <t>SKÅNE LÄN</t>
        </is>
      </c>
      <c r="G91" t="inlineStr">
        <is>
          <t>TOMELILLA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15296-2026</t>
        </is>
      </c>
      <c r="B92" t="inlineStr">
        <is>
          <t>avverkningsanmälan</t>
        </is>
      </c>
      <c r="C92" t="inlineStr">
        <is>
          <t>Föryngringsavverkning</t>
        </is>
      </c>
      <c r="D92" s="1" t="n">
        <v>46105</v>
      </c>
      <c r="E92" s="1" t="n">
        <v>46286</v>
      </c>
      <c r="F92" t="inlineStr">
        <is>
          <t>SKÅNE LÄN</t>
        </is>
      </c>
      <c r="G92" t="inlineStr">
        <is>
          <t>TOMELILLA</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4969-2026</t>
        </is>
      </c>
      <c r="B93" t="inlineStr">
        <is>
          <t>avverkningsanmälan</t>
        </is>
      </c>
      <c r="C93" t="inlineStr">
        <is>
          <t>Föryngringsavverkning</t>
        </is>
      </c>
      <c r="D93" s="1" t="n">
        <v>46049</v>
      </c>
      <c r="E93" s="1" t="n">
        <v>46286</v>
      </c>
      <c r="F93" t="inlineStr">
        <is>
          <t>SKÅNE LÄN</t>
        </is>
      </c>
      <c r="G93" t="inlineStr">
        <is>
          <t>TOMELILLA</t>
        </is>
      </c>
      <c r="H93" t="inlineStr">
        <is>
          <t>Övriga Aktiebolag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38562-2023</t>
        </is>
      </c>
      <c r="B94" t="inlineStr">
        <is>
          <t>avverkningsanmälan</t>
        </is>
      </c>
      <c r="C94" t="inlineStr">
        <is>
          <t>Föryngringsavverkning</t>
        </is>
      </c>
      <c r="D94" s="1" t="n">
        <v>45162</v>
      </c>
      <c r="E94" s="1" t="n">
        <v>46286</v>
      </c>
      <c r="F94" t="inlineStr">
        <is>
          <t>SKÅNE LÄN</t>
        </is>
      </c>
      <c r="G94" t="inlineStr">
        <is>
          <t>TOMELILLA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17778-2024</t>
        </is>
      </c>
      <c r="B95" t="inlineStr">
        <is>
          <t>avverkningsanmälan</t>
        </is>
      </c>
      <c r="C95" t="inlineStr">
        <is>
          <t>Föryngringsavverkning</t>
        </is>
      </c>
      <c r="D95" s="1" t="n">
        <v>45418</v>
      </c>
      <c r="E95" s="1" t="n">
        <v>46286</v>
      </c>
      <c r="F95" t="inlineStr">
        <is>
          <t>SKÅNE LÄN</t>
        </is>
      </c>
      <c r="G95" t="inlineStr">
        <is>
          <t>TOMELILLA</t>
        </is>
      </c>
      <c r="H95" t="inlineStr">
        <is>
          <t>Övriga Aktiebolag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44675-2024</t>
        </is>
      </c>
      <c r="B96" t="inlineStr">
        <is>
          <t>avverkningsanmälan</t>
        </is>
      </c>
      <c r="C96" t="inlineStr">
        <is>
          <t>Avverkning för att bevara och utveckla /försöksver</t>
        </is>
      </c>
      <c r="D96" s="1" t="n">
        <v>45574</v>
      </c>
      <c r="E96" s="1" t="n">
        <v>46286</v>
      </c>
      <c r="F96" t="inlineStr">
        <is>
          <t>SKÅNE LÄN</t>
        </is>
      </c>
      <c r="G96" t="inlineStr">
        <is>
          <t>TOMELILLA</t>
        </is>
      </c>
      <c r="H96" t="inlineStr">
        <is>
          <t>Sveaskog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46286</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51031-2023</t>
        </is>
      </c>
      <c r="B98" t="inlineStr">
        <is>
          <t>avverkningsanmälan</t>
        </is>
      </c>
      <c r="C98" t="inlineStr">
        <is>
          <t>Föryngringsavverkning</t>
        </is>
      </c>
      <c r="D98" s="1" t="n">
        <v>45211</v>
      </c>
      <c r="E98" s="1" t="n">
        <v>46286</v>
      </c>
      <c r="F98" t="inlineStr">
        <is>
          <t>SKÅNE LÄN</t>
        </is>
      </c>
      <c r="G98" t="inlineStr">
        <is>
          <t>TOMELILLA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7745-2025</t>
        </is>
      </c>
      <c r="B99" t="inlineStr">
        <is>
          <t>avverkningsanmälan</t>
        </is>
      </c>
      <c r="C99" t="inlineStr">
        <is>
          <t>Avverkning för annat ändamål</t>
        </is>
      </c>
      <c r="D99" s="1" t="n">
        <v>45706</v>
      </c>
      <c r="E99" s="1" t="n">
        <v>46286</v>
      </c>
      <c r="F99" t="inlineStr">
        <is>
          <t>SKÅNE LÄN</t>
        </is>
      </c>
      <c r="G99" t="inlineStr">
        <is>
          <t>TOMELILLA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61970-2025</t>
        </is>
      </c>
      <c r="B100" t="inlineStr">
        <is>
          <t>avverkningsanmälan</t>
        </is>
      </c>
      <c r="C100" t="inlineStr">
        <is>
          <t>Avverkning för annat ändamål</t>
        </is>
      </c>
      <c r="D100" s="1" t="n">
        <v>46003</v>
      </c>
      <c r="E100" s="1" t="n">
        <v>46286</v>
      </c>
      <c r="F100" t="inlineStr">
        <is>
          <t>SKÅNE LÄN</t>
        </is>
      </c>
      <c r="G100" t="inlineStr">
        <is>
          <t>TOMELILLA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5565-2024</t>
        </is>
      </c>
      <c r="B101" t="inlineStr">
        <is>
          <t>avverkningsanmälan</t>
        </is>
      </c>
      <c r="C101" t="inlineStr">
        <is>
          <t>Föryngringsavverkning</t>
        </is>
      </c>
      <c r="D101" s="1" t="n">
        <v>45334</v>
      </c>
      <c r="E101" s="1" t="n">
        <v>46286</v>
      </c>
      <c r="F101" t="inlineStr">
        <is>
          <t>SKÅNE LÄN</t>
        </is>
      </c>
      <c r="G101" t="inlineStr">
        <is>
          <t>TOMELILLA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23310-2022</t>
        </is>
      </c>
      <c r="B102" t="inlineStr">
        <is>
          <t>avverkningsanmälan</t>
        </is>
      </c>
      <c r="C102" t="inlineStr">
        <is>
          <t>Föryngringsavverkning</t>
        </is>
      </c>
      <c r="D102" s="1" t="n">
        <v>44720</v>
      </c>
      <c r="E102" s="1" t="n">
        <v>46286</v>
      </c>
      <c r="F102" t="inlineStr">
        <is>
          <t>SKÅNE LÄN</t>
        </is>
      </c>
      <c r="G102" t="inlineStr">
        <is>
          <t>TOMELILLA</t>
        </is>
      </c>
      <c r="H102" t="inlineStr">
        <is>
          <t>Övriga Aktiebolag</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6124-2026</t>
        </is>
      </c>
      <c r="B103" t="inlineStr">
        <is>
          <t>avverkningsanmälan</t>
        </is>
      </c>
      <c r="C103" t="inlineStr">
        <is>
          <t>Föryngringsavverkning</t>
        </is>
      </c>
      <c r="D103" s="1" t="n">
        <v>46053</v>
      </c>
      <c r="E103" s="1" t="n">
        <v>46286</v>
      </c>
      <c r="F103" t="inlineStr">
        <is>
          <t>SKÅNE LÄN</t>
        </is>
      </c>
      <c r="G103" t="inlineStr">
        <is>
          <t>TOMELILLA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23621-2026</t>
        </is>
      </c>
      <c r="B104" t="inlineStr">
        <is>
          <t>avverkningsanmälan</t>
        </is>
      </c>
      <c r="C104" t="inlineStr">
        <is>
          <t>Föryngringsavverkning</t>
        </is>
      </c>
      <c r="D104" s="1" t="n">
        <v>46162</v>
      </c>
      <c r="E104" s="1" t="n">
        <v>46286</v>
      </c>
      <c r="F104" t="inlineStr">
        <is>
          <t>SKÅNE LÄN</t>
        </is>
      </c>
      <c r="G104" t="inlineStr">
        <is>
          <t>TOMELILLA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16621-2026</t>
        </is>
      </c>
      <c r="B105" t="inlineStr">
        <is>
          <t>avverkningsanmälan</t>
        </is>
      </c>
      <c r="C105" t="inlineStr">
        <is>
          <t>Föryngringsavverkning</t>
        </is>
      </c>
      <c r="D105" s="1" t="n">
        <v>46112</v>
      </c>
      <c r="E105" s="1" t="n">
        <v>46286</v>
      </c>
      <c r="F105" t="inlineStr">
        <is>
          <t>SKÅNE LÄN</t>
        </is>
      </c>
      <c r="G105" t="inlineStr">
        <is>
          <t>TOMELILLA</t>
        </is>
      </c>
      <c r="H105" t="inlineStr">
        <is>
          <t>Kommuner</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7955-2024</t>
        </is>
      </c>
      <c r="B106" t="inlineStr">
        <is>
          <t>avverkningsanmälan</t>
        </is>
      </c>
      <c r="C106" t="inlineStr">
        <is>
          <t>Föryngringsavverkning</t>
        </is>
      </c>
      <c r="D106" s="1" t="n">
        <v>45350</v>
      </c>
      <c r="E106" s="1" t="n">
        <v>46286</v>
      </c>
      <c r="F106" t="inlineStr">
        <is>
          <t>SKÅNE LÄN</t>
        </is>
      </c>
      <c r="G106" t="inlineStr">
        <is>
          <t>TOMELILLA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32955-2026</t>
        </is>
      </c>
      <c r="B107" t="inlineStr">
        <is>
          <t>avverkningsanmälan</t>
        </is>
      </c>
      <c r="C107" t="inlineStr">
        <is>
          <t>Föryngringsavverkning</t>
        </is>
      </c>
      <c r="D107" s="1" t="n">
        <v>46244</v>
      </c>
      <c r="E107" s="1" t="n">
        <v>46286</v>
      </c>
      <c r="F107" t="inlineStr">
        <is>
          <t>SKÅNE LÄN</t>
        </is>
      </c>
      <c r="G107" t="inlineStr">
        <is>
          <t>TOMELILLA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46286</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55676-2022</t>
        </is>
      </c>
      <c r="B109" t="inlineStr">
        <is>
          <t>avverkningsanmälan</t>
        </is>
      </c>
      <c r="C109" t="inlineStr">
        <is>
          <t>Föryngringsavverkning</t>
        </is>
      </c>
      <c r="D109" s="1" t="n">
        <v>44888</v>
      </c>
      <c r="E109" s="1" t="n">
        <v>46286</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46286</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46286</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16027-2022</t>
        </is>
      </c>
      <c r="B112" t="inlineStr">
        <is>
          <t>avverkningsanmälan</t>
        </is>
      </c>
      <c r="C112" t="inlineStr">
        <is>
          <t>Föryngringsavverkning</t>
        </is>
      </c>
      <c r="D112" s="1" t="n">
        <v>44665</v>
      </c>
      <c r="E112" s="1" t="n">
        <v>46286</v>
      </c>
      <c r="F112" t="inlineStr">
        <is>
          <t>SKÅNE LÄN</t>
        </is>
      </c>
      <c r="G112" t="inlineStr">
        <is>
          <t>TOMELILLA</t>
        </is>
      </c>
      <c r="H112" t="inlineStr">
        <is>
          <t>Övriga Aktiebolag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46286</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12988-2024</t>
        </is>
      </c>
      <c r="B114" t="inlineStr">
        <is>
          <t>avverkningsanmälan</t>
        </is>
      </c>
      <c r="C114" t="inlineStr">
        <is>
          <t>Föryngringsavverkning</t>
        </is>
      </c>
      <c r="D114" s="1" t="n">
        <v>45385</v>
      </c>
      <c r="E114" s="1" t="n">
        <v>46286</v>
      </c>
      <c r="F114" t="inlineStr">
        <is>
          <t>SKÅNE LÄN</t>
        </is>
      </c>
      <c r="G114" t="inlineStr">
        <is>
          <t>TOMELILLA</t>
        </is>
      </c>
      <c r="H114" t="inlineStr">
        <is>
          <t>Övriga Aktiebolag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15305-2025</t>
        </is>
      </c>
      <c r="B115" t="inlineStr">
        <is>
          <t>avverkningsanmälan</t>
        </is>
      </c>
      <c r="C115" t="inlineStr">
        <is>
          <t>Avverkning för annat ändamål</t>
        </is>
      </c>
      <c r="D115" s="1" t="n">
        <v>45746</v>
      </c>
      <c r="E115" s="1" t="n">
        <v>46286</v>
      </c>
      <c r="F115" t="inlineStr">
        <is>
          <t>SKÅNE LÄN</t>
        </is>
      </c>
      <c r="G115" t="inlineStr">
        <is>
          <t>TOMELILLA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60817-2023</t>
        </is>
      </c>
      <c r="B116" t="inlineStr">
        <is>
          <t>avverkningsanmälan</t>
        </is>
      </c>
      <c r="C116" t="inlineStr">
        <is>
          <t>Föryngringsavverkning</t>
        </is>
      </c>
      <c r="D116" s="1" t="n">
        <v>45260</v>
      </c>
      <c r="E116" s="1" t="n">
        <v>46286</v>
      </c>
      <c r="F116" t="inlineStr">
        <is>
          <t>SKÅNE LÄN</t>
        </is>
      </c>
      <c r="G116" t="inlineStr">
        <is>
          <t>TOMELILLA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46286</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46286</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10908-2026</t>
        </is>
      </c>
      <c r="B119" t="inlineStr">
        <is>
          <t>avverkningsanmälan</t>
        </is>
      </c>
      <c r="C119" t="inlineStr">
        <is>
          <t>Föryngringsavverkning</t>
        </is>
      </c>
      <c r="D119" s="1" t="n">
        <v>46079</v>
      </c>
      <c r="E119" s="1" t="n">
        <v>46286</v>
      </c>
      <c r="F119" t="inlineStr">
        <is>
          <t>SKÅNE LÄN</t>
        </is>
      </c>
      <c r="G119" t="inlineStr">
        <is>
          <t>TOMELILLA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35897-2026</t>
        </is>
      </c>
      <c r="B120" t="inlineStr">
        <is>
          <t>avverkningsanmälan</t>
        </is>
      </c>
      <c r="C120" t="inlineStr">
        <is>
          <t>Föryngringsavverkning</t>
        </is>
      </c>
      <c r="D120" s="1" t="n">
        <v>46266</v>
      </c>
      <c r="E120" s="1" t="n">
        <v>46286</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12310-2023</t>
        </is>
      </c>
      <c r="B121" t="inlineStr">
        <is>
          <t>avverkningsanmälan</t>
        </is>
      </c>
      <c r="C121" t="inlineStr">
        <is>
          <t>Föryngringsavverkning</t>
        </is>
      </c>
      <c r="D121" s="1" t="n">
        <v>44999</v>
      </c>
      <c r="E121" s="1" t="n">
        <v>46286</v>
      </c>
      <c r="F121" t="inlineStr">
        <is>
          <t>SKÅNE LÄN</t>
        </is>
      </c>
      <c r="G121" t="inlineStr">
        <is>
          <t>TOMELILLA</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15921-2025</t>
        </is>
      </c>
      <c r="B122" t="inlineStr">
        <is>
          <t>avverkningsanmälan</t>
        </is>
      </c>
      <c r="C122" t="inlineStr">
        <is>
          <t>Föryngringsavverkning</t>
        </is>
      </c>
      <c r="D122" s="1" t="n">
        <v>45749</v>
      </c>
      <c r="E122" s="1" t="n">
        <v>46286</v>
      </c>
      <c r="F122" t="inlineStr">
        <is>
          <t>SKÅNE LÄN</t>
        </is>
      </c>
      <c r="G122" t="inlineStr">
        <is>
          <t>TOMELILLA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46286</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46286</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46286</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46286</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25597-2026</t>
        </is>
      </c>
      <c r="B127" t="inlineStr">
        <is>
          <t>avverkningsanmälan</t>
        </is>
      </c>
      <c r="C127" t="inlineStr">
        <is>
          <t>Föryngringsavverkning</t>
        </is>
      </c>
      <c r="D127" s="1" t="n">
        <v>46177</v>
      </c>
      <c r="E127" s="1" t="n">
        <v>46286</v>
      </c>
      <c r="F127" t="inlineStr">
        <is>
          <t>SKÅNE LÄN</t>
        </is>
      </c>
      <c r="G127" t="inlineStr">
        <is>
          <t>TOMELILLA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25605-2026</t>
        </is>
      </c>
      <c r="B128" t="inlineStr">
        <is>
          <t>avverkningsanmälan</t>
        </is>
      </c>
      <c r="C128" t="inlineStr">
        <is>
          <t>Föryngringsavverkning</t>
        </is>
      </c>
      <c r="D128" s="1" t="n">
        <v>46177</v>
      </c>
      <c r="E128" s="1" t="n">
        <v>46286</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46286</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38074-2026</t>
        </is>
      </c>
      <c r="B130" t="inlineStr">
        <is>
          <t>avverkningsanmälan</t>
        </is>
      </c>
      <c r="C130" t="inlineStr">
        <is>
          <t>Föryngringsavverkning</t>
        </is>
      </c>
      <c r="D130" s="1" t="n">
        <v>46280</v>
      </c>
      <c r="E130" s="1" t="n">
        <v>46286</v>
      </c>
      <c r="F130" t="inlineStr">
        <is>
          <t>SKÅNE LÄN</t>
        </is>
      </c>
      <c r="G130" t="inlineStr">
        <is>
          <t>TOMELILLA</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46286</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37743-2026</t>
        </is>
      </c>
      <c r="B132" t="inlineStr">
        <is>
          <t>avverkningsanmälan</t>
        </is>
      </c>
      <c r="C132" t="inlineStr">
        <is>
          <t>Föryngringsavverkning</t>
        </is>
      </c>
      <c r="D132" s="1" t="n">
        <v>46279</v>
      </c>
      <c r="E132" s="1" t="n">
        <v>46286</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46286</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38787-2024</t>
        </is>
      </c>
      <c r="B134" t="inlineStr">
        <is>
          <t>avverkningsanmälan</t>
        </is>
      </c>
      <c r="C134" t="inlineStr">
        <is>
          <t>Föryngringsavverkning</t>
        </is>
      </c>
      <c r="D134" s="1" t="n">
        <v>45547</v>
      </c>
      <c r="E134" s="1" t="n">
        <v>46286</v>
      </c>
      <c r="F134" t="inlineStr">
        <is>
          <t>SKÅNE LÄN</t>
        </is>
      </c>
      <c r="G134" t="inlineStr">
        <is>
          <t>TOMELILLA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46286</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35792-2025</t>
        </is>
      </c>
      <c r="B136" t="inlineStr">
        <is>
          <t>avverkningsanmälan</t>
        </is>
      </c>
      <c r="C136" t="inlineStr">
        <is>
          <t>Föryngringsavverkning</t>
        </is>
      </c>
      <c r="D136" s="1" t="n">
        <v>45861</v>
      </c>
      <c r="E136" s="1" t="n">
        <v>46286</v>
      </c>
      <c r="F136" t="inlineStr">
        <is>
          <t>SKÅNE LÄN</t>
        </is>
      </c>
      <c r="G136" t="inlineStr">
        <is>
          <t>TOMELILLA</t>
        </is>
      </c>
      <c r="H136" t="inlineStr">
        <is>
          <t>Övriga Aktiebolag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35971-2025</t>
        </is>
      </c>
      <c r="B137" t="inlineStr">
        <is>
          <t>avverkningsanmälan</t>
        </is>
      </c>
      <c r="C137" t="inlineStr">
        <is>
          <t>Föryngringsavverkning</t>
        </is>
      </c>
      <c r="D137" s="1" t="n">
        <v>45863</v>
      </c>
      <c r="E137" s="1" t="n">
        <v>46286</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46286</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2026-09-21T02:05:00Z</dcterms:created>
  <dcterms:modified xmlns:dcterms="http://purl.org/dc/terms/" xmlns:xsi="http://www.w3.org/2001/XMLSchema-instance" xsi:type="dcterms:W3CDTF">2026-09-21T02:05:00Z</dcterms:modified>
</cp:coreProperties>
</file>